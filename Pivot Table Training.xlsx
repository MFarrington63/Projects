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atthewfarrington/Library/Mobile Documents/com~apple~CloudDocs/Finance/"/>
    </mc:Choice>
  </mc:AlternateContent>
  <xr:revisionPtr revIDLastSave="0" documentId="13_ncr:1_{F6837313-A24A-5241-AF12-4874C7A05623}" xr6:coauthVersionLast="47" xr6:coauthVersionMax="47" xr10:uidLastSave="{00000000-0000-0000-0000-000000000000}"/>
  <bookViews>
    <workbookView xWindow="0" yWindow="660" windowWidth="16380" windowHeight="18460" tabRatio="500" xr2:uid="{00000000-000D-0000-FFFF-FFFF00000000}"/>
  </bookViews>
  <sheets>
    <sheet name="PivotTable" sheetId="2" r:id="rId1"/>
    <sheet name="PivotBudgetFine" sheetId="4" r:id="rId2"/>
    <sheet name="Transactions" sheetId="1" r:id="rId3"/>
  </sheets>
  <definedNames>
    <definedName name="Slicer_Department">#N/A</definedName>
  </definedNames>
  <calcPr calcId="191029" iterateDelta="1E-4"/>
  <pivotCaches>
    <pivotCache cacheId="1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4" l="1"/>
  <c r="G7" i="4"/>
  <c r="G4" i="4"/>
</calcChain>
</file>

<file path=xl/sharedStrings.xml><?xml version="1.0" encoding="utf-8"?>
<sst xmlns="http://schemas.openxmlformats.org/spreadsheetml/2006/main" count="3470" uniqueCount="93">
  <si>
    <t>Transaction ID</t>
  </si>
  <si>
    <t>Date</t>
  </si>
  <si>
    <t>Department</t>
  </si>
  <si>
    <t>Region</t>
  </si>
  <si>
    <t>Account Category</t>
  </si>
  <si>
    <t>Vendor/Customer</t>
  </si>
  <si>
    <t>Actual Amount (NZD)</t>
  </si>
  <si>
    <t>Budget Amount (NZD)</t>
  </si>
  <si>
    <t>Sales</t>
  </si>
  <si>
    <t>NZ</t>
  </si>
  <si>
    <t>Revenue</t>
  </si>
  <si>
    <t>Meridian Energy</t>
  </si>
  <si>
    <t>Global</t>
  </si>
  <si>
    <t>Contact Energy</t>
  </si>
  <si>
    <t>Sales Commissions</t>
  </si>
  <si>
    <t>Payroll - Commissions</t>
  </si>
  <si>
    <t>AU</t>
  </si>
  <si>
    <t>Travel</t>
  </si>
  <si>
    <t>Air New Zealand</t>
  </si>
  <si>
    <t>Uber</t>
  </si>
  <si>
    <t>Software</t>
  </si>
  <si>
    <t>HubSpot</t>
  </si>
  <si>
    <t>Microsoft 365</t>
  </si>
  <si>
    <t>Marketing</t>
  </si>
  <si>
    <t>Marketing Spend</t>
  </si>
  <si>
    <t>Meta Ads</t>
  </si>
  <si>
    <t>TVNZ</t>
  </si>
  <si>
    <t>LinkedIn Ads</t>
  </si>
  <si>
    <t>Slack</t>
  </si>
  <si>
    <t>Atlassian</t>
  </si>
  <si>
    <t>Adobe</t>
  </si>
  <si>
    <t>Zoom</t>
  </si>
  <si>
    <t>Ibis Hotels</t>
  </si>
  <si>
    <t>Hertz Rental</t>
  </si>
  <si>
    <t>Professional Services</t>
  </si>
  <si>
    <t>PWC NZ</t>
  </si>
  <si>
    <t>KPMG NZ</t>
  </si>
  <si>
    <t>Legal Counsel Ltd</t>
  </si>
  <si>
    <t>Recruitment Partners</t>
  </si>
  <si>
    <t>Deloitte NZ</t>
  </si>
  <si>
    <t>Engineering</t>
  </si>
  <si>
    <t>Salaries</t>
  </si>
  <si>
    <t>Payroll - Salaries</t>
  </si>
  <si>
    <t>Cloud Hosting</t>
  </si>
  <si>
    <t>Google Cloud</t>
  </si>
  <si>
    <t>AWS</t>
  </si>
  <si>
    <t>Operations</t>
  </si>
  <si>
    <t>Facilities</t>
  </si>
  <si>
    <t>Cleaning Services Ltd</t>
  </si>
  <si>
    <t>Auckland CBD Landlord</t>
  </si>
  <si>
    <t>Wellington Office Park</t>
  </si>
  <si>
    <t>Salesforce</t>
  </si>
  <si>
    <t>G&amp;A</t>
  </si>
  <si>
    <t>Mainfreight</t>
  </si>
  <si>
    <t>Fonterra Ltd</t>
  </si>
  <si>
    <t>Spark NZ</t>
  </si>
  <si>
    <t>Event Sponsorship Co</t>
  </si>
  <si>
    <t>Google Ads</t>
  </si>
  <si>
    <t>Qantas</t>
  </si>
  <si>
    <t>Azure</t>
  </si>
  <si>
    <t>CBRE Property</t>
  </si>
  <si>
    <t>Air NZ</t>
  </si>
  <si>
    <t>NZ Herald Media</t>
  </si>
  <si>
    <t>Fisher &amp; Paykel</t>
  </si>
  <si>
    <t>Xero Ltd</t>
  </si>
  <si>
    <t>Row Labels</t>
  </si>
  <si>
    <t>Sum of Actual Amount (NZD)</t>
  </si>
  <si>
    <t>Total</t>
  </si>
  <si>
    <t>Sum of Budget Amount (NZD)</t>
  </si>
  <si>
    <t>Jan</t>
  </si>
  <si>
    <t>Feb</t>
  </si>
  <si>
    <t>Mar</t>
  </si>
  <si>
    <t>Apr</t>
  </si>
  <si>
    <t>May</t>
  </si>
  <si>
    <t>Jun</t>
  </si>
  <si>
    <t>Jul</t>
  </si>
  <si>
    <t>Aug</t>
  </si>
  <si>
    <t>Sep</t>
  </si>
  <si>
    <t>Oct</t>
  </si>
  <si>
    <t>Nov</t>
  </si>
  <si>
    <t>Dec</t>
  </si>
  <si>
    <t>(All)</t>
  </si>
  <si>
    <t>Sum of Variance</t>
  </si>
  <si>
    <t>Sum of Variance %</t>
  </si>
  <si>
    <t>Grand Total</t>
  </si>
  <si>
    <t>Variance Budget</t>
  </si>
  <si>
    <t>Sum of Variance % Budget</t>
  </si>
  <si>
    <t>% of Total Spend</t>
  </si>
  <si>
    <t>Get Pivot Data Function</t>
  </si>
  <si>
    <t>Commission Rate (Implied)</t>
  </si>
  <si>
    <t>Flexed Commission Budget</t>
  </si>
  <si>
    <t>Flexed Variance</t>
  </si>
  <si>
    <t xml:space="preserve">&lt;- Discrepancy between budgeted commissions and actual commissions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</si>
</sst>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7" formatCode="0.0%"/>
  </numFmts>
  <fonts count="4" x14ac:knownFonts="1">
    <font>
      <sz val="11"/>
      <color theme="1"/>
      <name val="Calibri"/>
      <family val="2"/>
      <charset val="1"/>
    </font>
    <font>
      <b/>
      <sz val="10"/>
      <color rgb="FFFFFFFF"/>
      <name val="Arial"/>
      <family val="2"/>
    </font>
    <font>
      <sz val="10"/>
      <name val="Arial"/>
      <family val="2"/>
    </font>
    <font>
      <sz val="11"/>
      <color theme="1"/>
      <name val="Calibri"/>
      <family val="2"/>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0" fontId="0" fillId="0" borderId="0" xfId="0" applyNumberFormat="1"/>
    <xf numFmtId="167" fontId="0" fillId="0" borderId="0" xfId="0" applyNumberFormat="1"/>
    <xf numFmtId="10" fontId="0" fillId="0" borderId="0" xfId="1" applyNumberFormat="1" applyFont="1"/>
  </cellXfs>
  <cellStyles count="2">
    <cellStyle name="Normal" xfId="0" builtinId="0"/>
    <cellStyle name="Per cent" xfId="1" builtinId="5"/>
  </cellStyles>
  <dxfs count="11">
    <dxf>
      <numFmt numFmtId="167" formatCode="0.0%"/>
    </dxf>
    <dxf>
      <numFmt numFmtId="14" formatCode="0.00%"/>
    </dxf>
    <dxf>
      <numFmt numFmtId="14" formatCode="0.00%"/>
    </dxf>
    <dxf>
      <numFmt numFmtId="167" formatCode="0.0%"/>
    </dxf>
    <dxf>
      <numFmt numFmtId="167" formatCode="0.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7" formatCode="0.0%"/>
    </dxf>
    <dxf>
      <numFmt numFmtId="167" formatCode="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254000</xdr:colOff>
      <xdr:row>2</xdr:row>
      <xdr:rowOff>76200</xdr:rowOff>
    </xdr:from>
    <xdr:to>
      <xdr:col>10</xdr:col>
      <xdr:colOff>50800</xdr:colOff>
      <xdr:row>15</xdr:row>
      <xdr:rowOff>28569</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E3F5A4A6-4D7C-6AC6-A38C-5F79896EA9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454900" y="457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Farrington" refreshedDate="46204.509059143522" createdVersion="8" refreshedVersion="8" minRefreshableVersion="3" recordCount="838" xr:uid="{021D9B3C-FBA9-D245-B792-1B191F023EDE}">
  <cacheSource type="worksheet">
    <worksheetSource name="TransactionData"/>
  </cacheSource>
  <cacheFields count="14">
    <cacheField name="Transaction ID" numFmtId="0">
      <sharedItems containsSemiMixedTypes="0" containsString="0" containsNumber="1" containsInteger="1" minValue="100001" maxValue="100838" count="838">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4"/>
        <n v="100425"/>
        <n v="100426"/>
        <n v="100427"/>
        <n v="100428"/>
        <n v="100429"/>
        <n v="100430"/>
        <n v="100431"/>
        <n v="100432"/>
        <n v="100433"/>
        <n v="100434"/>
        <n v="100435"/>
        <n v="100436"/>
        <n v="100437"/>
        <n v="100438"/>
        <n v="100439"/>
        <n v="100440"/>
        <n v="100441"/>
        <n v="100442"/>
        <n v="100443"/>
        <n v="100444"/>
        <n v="100445"/>
        <n v="100446"/>
        <n v="100447"/>
        <n v="100448"/>
        <n v="100449"/>
        <n v="100450"/>
        <n v="100451"/>
        <n v="100452"/>
        <n v="100453"/>
        <n v="100454"/>
        <n v="100455"/>
        <n v="100456"/>
        <n v="100457"/>
        <n v="100458"/>
        <n v="100459"/>
        <n v="100460"/>
        <n v="100461"/>
        <n v="100462"/>
        <n v="100463"/>
        <n v="100464"/>
        <n v="100465"/>
        <n v="100466"/>
        <n v="100467"/>
        <n v="100468"/>
        <n v="100469"/>
        <n v="100470"/>
        <n v="100471"/>
        <n v="100472"/>
        <n v="100473"/>
        <n v="100474"/>
        <n v="100475"/>
        <n v="100476"/>
        <n v="100477"/>
        <n v="100478"/>
        <n v="100479"/>
        <n v="100480"/>
        <n v="100481"/>
        <n v="100482"/>
        <n v="100483"/>
        <n v="100484"/>
        <n v="100485"/>
        <n v="100486"/>
        <n v="100487"/>
        <n v="100488"/>
        <n v="100489"/>
        <n v="100490"/>
        <n v="100491"/>
        <n v="100492"/>
        <n v="100493"/>
        <n v="100494"/>
        <n v="100495"/>
        <n v="100496"/>
        <n v="100497"/>
        <n v="100498"/>
        <n v="100499"/>
        <n v="100500"/>
        <n v="100501"/>
        <n v="100502"/>
        <n v="100503"/>
        <n v="100504"/>
        <n v="100505"/>
        <n v="100506"/>
        <n v="100507"/>
        <n v="100508"/>
        <n v="100509"/>
        <n v="100510"/>
        <n v="100511"/>
        <n v="100512"/>
        <n v="100513"/>
        <n v="100514"/>
        <n v="100515"/>
        <n v="100516"/>
        <n v="100517"/>
        <n v="100518"/>
        <n v="100519"/>
        <n v="100520"/>
        <n v="100521"/>
        <n v="100522"/>
        <n v="100523"/>
        <n v="100524"/>
        <n v="100525"/>
        <n v="100526"/>
        <n v="100527"/>
        <n v="100528"/>
        <n v="100529"/>
        <n v="100530"/>
        <n v="100531"/>
        <n v="100532"/>
        <n v="100533"/>
        <n v="100534"/>
        <n v="100535"/>
        <n v="100536"/>
        <n v="100537"/>
        <n v="100538"/>
        <n v="100539"/>
        <n v="100540"/>
        <n v="100541"/>
        <n v="100542"/>
        <n v="100543"/>
        <n v="100544"/>
        <n v="100545"/>
        <n v="100546"/>
        <n v="100547"/>
        <n v="100548"/>
        <n v="100549"/>
        <n v="100550"/>
        <n v="100551"/>
        <n v="100552"/>
        <n v="100553"/>
        <n v="100554"/>
        <n v="100555"/>
        <n v="100556"/>
        <n v="100557"/>
        <n v="100558"/>
        <n v="100559"/>
        <n v="100560"/>
        <n v="100561"/>
        <n v="100562"/>
        <n v="100563"/>
        <n v="100564"/>
        <n v="100565"/>
        <n v="100566"/>
        <n v="100567"/>
        <n v="100568"/>
        <n v="100569"/>
        <n v="100570"/>
        <n v="100571"/>
        <n v="100572"/>
        <n v="100573"/>
        <n v="100574"/>
        <n v="100575"/>
        <n v="100576"/>
        <n v="100577"/>
        <n v="100578"/>
        <n v="100579"/>
        <n v="100580"/>
        <n v="100581"/>
        <n v="100582"/>
        <n v="100583"/>
        <n v="100584"/>
        <n v="100585"/>
        <n v="100586"/>
        <n v="100587"/>
        <n v="100588"/>
        <n v="100589"/>
        <n v="100590"/>
        <n v="100591"/>
        <n v="100592"/>
        <n v="100593"/>
        <n v="100594"/>
        <n v="100595"/>
        <n v="100596"/>
        <n v="100597"/>
        <n v="100598"/>
        <n v="100599"/>
        <n v="100600"/>
        <n v="100601"/>
        <n v="100602"/>
        <n v="100603"/>
        <n v="100604"/>
        <n v="100605"/>
        <n v="100606"/>
        <n v="100607"/>
        <n v="100608"/>
        <n v="100609"/>
        <n v="100610"/>
        <n v="100611"/>
        <n v="100612"/>
        <n v="100613"/>
        <n v="100614"/>
        <n v="100615"/>
        <n v="100616"/>
        <n v="100617"/>
        <n v="100618"/>
        <n v="100619"/>
        <n v="100620"/>
        <n v="100621"/>
        <n v="100622"/>
        <n v="100623"/>
        <n v="100624"/>
        <n v="100625"/>
        <n v="100626"/>
        <n v="100627"/>
        <n v="100628"/>
        <n v="100629"/>
        <n v="100630"/>
        <n v="100631"/>
        <n v="100632"/>
        <n v="100633"/>
        <n v="100634"/>
        <n v="100635"/>
        <n v="100636"/>
        <n v="100637"/>
        <n v="100638"/>
        <n v="100639"/>
        <n v="100640"/>
        <n v="100641"/>
        <n v="100642"/>
        <n v="100643"/>
        <n v="100644"/>
        <n v="100645"/>
        <n v="100646"/>
        <n v="100647"/>
        <n v="100648"/>
        <n v="100649"/>
        <n v="100650"/>
        <n v="100651"/>
        <n v="100652"/>
        <n v="100653"/>
        <n v="100654"/>
        <n v="100655"/>
        <n v="100656"/>
        <n v="100657"/>
        <n v="100658"/>
        <n v="100659"/>
        <n v="100660"/>
        <n v="100661"/>
        <n v="100662"/>
        <n v="100663"/>
        <n v="100664"/>
        <n v="100665"/>
        <n v="100666"/>
        <n v="100667"/>
        <n v="100668"/>
        <n v="100669"/>
        <n v="100670"/>
        <n v="100671"/>
        <n v="100672"/>
        <n v="100673"/>
        <n v="100674"/>
        <n v="100675"/>
        <n v="100676"/>
        <n v="100677"/>
        <n v="100678"/>
        <n v="100679"/>
        <n v="100680"/>
        <n v="100681"/>
        <n v="100682"/>
        <n v="100683"/>
        <n v="100684"/>
        <n v="100685"/>
        <n v="100686"/>
        <n v="100687"/>
        <n v="100688"/>
        <n v="100689"/>
        <n v="100690"/>
        <n v="100691"/>
        <n v="100692"/>
        <n v="100693"/>
        <n v="100694"/>
        <n v="100695"/>
        <n v="100696"/>
        <n v="100697"/>
        <n v="100698"/>
        <n v="100699"/>
        <n v="100700"/>
        <n v="100701"/>
        <n v="100702"/>
        <n v="100703"/>
        <n v="100704"/>
        <n v="100705"/>
        <n v="100706"/>
        <n v="100707"/>
        <n v="100708"/>
        <n v="100709"/>
        <n v="100710"/>
        <n v="100711"/>
        <n v="100712"/>
        <n v="100713"/>
        <n v="100714"/>
        <n v="100715"/>
        <n v="100716"/>
        <n v="100717"/>
        <n v="100718"/>
        <n v="100719"/>
        <n v="100720"/>
        <n v="100721"/>
        <n v="100722"/>
        <n v="100723"/>
        <n v="100724"/>
        <n v="100725"/>
        <n v="100726"/>
        <n v="100727"/>
        <n v="100728"/>
        <n v="100729"/>
        <n v="100730"/>
        <n v="100731"/>
        <n v="100732"/>
        <n v="100733"/>
        <n v="100734"/>
        <n v="100735"/>
        <n v="100736"/>
        <n v="100737"/>
        <n v="100738"/>
        <n v="100739"/>
        <n v="100740"/>
        <n v="100741"/>
        <n v="100742"/>
        <n v="100743"/>
        <n v="100744"/>
        <n v="100745"/>
        <n v="100746"/>
        <n v="100747"/>
        <n v="100748"/>
        <n v="100749"/>
        <n v="100750"/>
        <n v="100751"/>
        <n v="100752"/>
        <n v="100753"/>
        <n v="100754"/>
        <n v="100755"/>
        <n v="100756"/>
        <n v="100757"/>
        <n v="100758"/>
        <n v="100759"/>
        <n v="100760"/>
        <n v="100761"/>
        <n v="100762"/>
        <n v="100763"/>
        <n v="100764"/>
        <n v="100765"/>
        <n v="100766"/>
        <n v="100767"/>
        <n v="100768"/>
        <n v="100769"/>
        <n v="100770"/>
        <n v="100771"/>
        <n v="100772"/>
        <n v="100773"/>
        <n v="100774"/>
        <n v="100775"/>
        <n v="100776"/>
        <n v="100777"/>
        <n v="100778"/>
        <n v="100779"/>
        <n v="100780"/>
        <n v="100781"/>
        <n v="100782"/>
        <n v="100783"/>
        <n v="100784"/>
        <n v="100785"/>
        <n v="100786"/>
        <n v="100787"/>
        <n v="100788"/>
        <n v="100789"/>
        <n v="100790"/>
        <n v="100791"/>
        <n v="100792"/>
        <n v="100793"/>
        <n v="100794"/>
        <n v="100795"/>
        <n v="100796"/>
        <n v="100797"/>
        <n v="100798"/>
        <n v="100799"/>
        <n v="100800"/>
        <n v="100801"/>
        <n v="100802"/>
        <n v="100803"/>
        <n v="100804"/>
        <n v="100805"/>
        <n v="100806"/>
        <n v="100807"/>
        <n v="100808"/>
        <n v="100809"/>
        <n v="100810"/>
        <n v="100811"/>
        <n v="100812"/>
        <n v="100813"/>
        <n v="100814"/>
        <n v="100815"/>
        <n v="100816"/>
        <n v="100817"/>
        <n v="100818"/>
        <n v="100819"/>
        <n v="100820"/>
        <n v="100821"/>
        <n v="100822"/>
        <n v="100823"/>
        <n v="100824"/>
        <n v="100825"/>
        <n v="100826"/>
        <n v="100827"/>
        <n v="100828"/>
        <n v="100829"/>
        <n v="100830"/>
        <n v="100831"/>
        <n v="100832"/>
        <n v="100833"/>
        <n v="100834"/>
        <n v="100835"/>
        <n v="100836"/>
        <n v="100837"/>
        <n v="100838"/>
      </sharedItems>
    </cacheField>
    <cacheField name="Date" numFmtId="164">
      <sharedItems containsSemiMixedTypes="0" containsNonDate="0" containsDate="1" containsString="0" minDate="2026-01-01T00:00:00" maxDate="2026-12-29T00:00:00" count="309">
        <d v="2026-01-05T00:00:00"/>
        <d v="2026-01-19T00:00:00"/>
        <d v="2026-01-08T00:00:00"/>
        <d v="2026-01-21T00:00:00"/>
        <d v="2026-01-26T00:00:00"/>
        <d v="2026-01-11T00:00:00"/>
        <d v="2026-01-25T00:00:00"/>
        <d v="2026-01-12T00:00:00"/>
        <d v="2026-01-13T00:00:00"/>
        <d v="2026-01-23T00:00:00"/>
        <d v="2026-01-28T00:00:00"/>
        <d v="2026-01-27T00:00:00"/>
        <d v="2026-01-07T00:00:00"/>
        <d v="2026-01-22T00:00:00"/>
        <d v="2026-01-06T00:00:00"/>
        <d v="2026-01-15T00:00:00"/>
        <d v="2026-01-02T00:00:00"/>
        <d v="2026-01-09T00:00:00"/>
        <d v="2026-01-18T00:00:00"/>
        <d v="2026-01-10T00:00:00"/>
        <d v="2026-01-24T00:00:00"/>
        <d v="2026-01-16T00:00:00"/>
        <d v="2026-01-20T00:00:00"/>
        <d v="2026-01-01T00:00:00"/>
        <d v="2026-01-03T00:00:00"/>
        <d v="2026-01-14T00:00:00"/>
        <d v="2026-02-26T00:00:00"/>
        <d v="2026-02-02T00:00:00"/>
        <d v="2026-02-16T00:00:00"/>
        <d v="2026-02-06T00:00:00"/>
        <d v="2026-02-13T00:00:00"/>
        <d v="2026-02-20T00:00:00"/>
        <d v="2026-02-19T00:00:00"/>
        <d v="2026-02-23T00:00:00"/>
        <d v="2026-02-22T00:00:00"/>
        <d v="2026-02-25T00:00:00"/>
        <d v="2026-02-09T00:00:00"/>
        <d v="2026-02-08T00:00:00"/>
        <d v="2026-02-18T00:00:00"/>
        <d v="2026-02-27T00:00:00"/>
        <d v="2026-02-04T00:00:00"/>
        <d v="2026-02-24T00:00:00"/>
        <d v="2026-02-03T00:00:00"/>
        <d v="2026-02-12T00:00:00"/>
        <d v="2026-02-05T00:00:00"/>
        <d v="2026-02-28T00:00:00"/>
        <d v="2026-02-15T00:00:00"/>
        <d v="2026-02-17T00:00:00"/>
        <d v="2026-02-14T00:00:00"/>
        <d v="2026-02-07T00:00:00"/>
        <d v="2026-02-10T00:00:00"/>
        <d v="2026-03-15T00:00:00"/>
        <d v="2026-03-11T00:00:00"/>
        <d v="2026-03-05T00:00:00"/>
        <d v="2026-03-13T00:00:00"/>
        <d v="2026-03-01T00:00:00"/>
        <d v="2026-03-27T00:00:00"/>
        <d v="2026-03-18T00:00:00"/>
        <d v="2026-03-09T00:00:00"/>
        <d v="2026-03-20T00:00:00"/>
        <d v="2026-03-19T00:00:00"/>
        <d v="2026-03-21T00:00:00"/>
        <d v="2026-03-24T00:00:00"/>
        <d v="2026-03-12T00:00:00"/>
        <d v="2026-03-07T00:00:00"/>
        <d v="2026-03-04T00:00:00"/>
        <d v="2026-03-10T00:00:00"/>
        <d v="2026-03-17T00:00:00"/>
        <d v="2026-03-08T00:00:00"/>
        <d v="2026-03-23T00:00:00"/>
        <d v="2026-03-16T00:00:00"/>
        <d v="2026-03-22T00:00:00"/>
        <d v="2026-03-02T00:00:00"/>
        <d v="2026-03-14T00:00:00"/>
        <d v="2026-03-26T00:00:00"/>
        <d v="2026-04-24T00:00:00"/>
        <d v="2026-04-23T00:00:00"/>
        <d v="2026-04-15T00:00:00"/>
        <d v="2026-04-14T00:00:00"/>
        <d v="2026-04-03T00:00:00"/>
        <d v="2026-04-19T00:00:00"/>
        <d v="2026-04-25T00:00:00"/>
        <d v="2026-04-06T00:00:00"/>
        <d v="2026-04-10T00:00:00"/>
        <d v="2026-04-18T00:00:00"/>
        <d v="2026-04-09T00:00:00"/>
        <d v="2026-04-27T00:00:00"/>
        <d v="2026-04-20T00:00:00"/>
        <d v="2026-04-01T00:00:00"/>
        <d v="2026-04-08T00:00:00"/>
        <d v="2026-04-21T00:00:00"/>
        <d v="2026-04-16T00:00:00"/>
        <d v="2026-04-13T00:00:00"/>
        <d v="2026-04-05T00:00:00"/>
        <d v="2026-04-28T00:00:00"/>
        <d v="2026-04-11T00:00:00"/>
        <d v="2026-04-04T00:00:00"/>
        <d v="2026-04-26T00:00:00"/>
        <d v="2026-04-12T00:00:00"/>
        <d v="2026-04-22T00:00:00"/>
        <d v="2026-04-07T00:00:00"/>
        <d v="2026-05-18T00:00:00"/>
        <d v="2026-05-09T00:00:00"/>
        <d v="2026-05-08T00:00:00"/>
        <d v="2026-05-11T00:00:00"/>
        <d v="2026-05-23T00:00:00"/>
        <d v="2026-05-05T00:00:00"/>
        <d v="2026-05-04T00:00:00"/>
        <d v="2026-05-24T00:00:00"/>
        <d v="2026-05-21T00:00:00"/>
        <d v="2026-05-15T00:00:00"/>
        <d v="2026-05-22T00:00:00"/>
        <d v="2026-05-07T00:00:00"/>
        <d v="2026-05-02T00:00:00"/>
        <d v="2026-05-27T00:00:00"/>
        <d v="2026-05-26T00:00:00"/>
        <d v="2026-05-06T00:00:00"/>
        <d v="2026-05-17T00:00:00"/>
        <d v="2026-05-20T00:00:00"/>
        <d v="2026-05-28T00:00:00"/>
        <d v="2026-05-01T00:00:00"/>
        <d v="2026-05-14T00:00:00"/>
        <d v="2026-05-19T00:00:00"/>
        <d v="2026-05-03T00:00:00"/>
        <d v="2026-05-12T00:00:00"/>
        <d v="2026-05-25T00:00:00"/>
        <d v="2026-05-10T00:00:00"/>
        <d v="2026-06-07T00:00:00"/>
        <d v="2026-06-10T00:00:00"/>
        <d v="2026-06-06T00:00:00"/>
        <d v="2026-06-17T00:00:00"/>
        <d v="2026-06-24T00:00:00"/>
        <d v="2026-06-03T00:00:00"/>
        <d v="2026-06-13T00:00:00"/>
        <d v="2026-06-01T00:00:00"/>
        <d v="2026-06-23T00:00:00"/>
        <d v="2026-06-04T00:00:00"/>
        <d v="2026-06-08T00:00:00"/>
        <d v="2026-06-21T00:00:00"/>
        <d v="2026-06-25T00:00:00"/>
        <d v="2026-06-27T00:00:00"/>
        <d v="2026-06-05T00:00:00"/>
        <d v="2026-06-19T00:00:00"/>
        <d v="2026-06-11T00:00:00"/>
        <d v="2026-06-15T00:00:00"/>
        <d v="2026-06-12T00:00:00"/>
        <d v="2026-06-02T00:00:00"/>
        <d v="2026-06-26T00:00:00"/>
        <d v="2026-06-22T00:00:00"/>
        <d v="2026-06-20T00:00:00"/>
        <d v="2026-06-14T00:00:00"/>
        <d v="2026-06-09T00:00:00"/>
        <d v="2026-06-16T00:00:00"/>
        <d v="2026-07-13T00:00:00"/>
        <d v="2026-07-03T00:00:00"/>
        <d v="2026-07-04T00:00:00"/>
        <d v="2026-07-18T00:00:00"/>
        <d v="2026-07-25T00:00:00"/>
        <d v="2026-07-05T00:00:00"/>
        <d v="2026-07-15T00:00:00"/>
        <d v="2026-07-26T00:00:00"/>
        <d v="2026-07-10T00:00:00"/>
        <d v="2026-07-07T00:00:00"/>
        <d v="2026-07-02T00:00:00"/>
        <d v="2026-07-06T00:00:00"/>
        <d v="2026-07-24T00:00:00"/>
        <d v="2026-07-27T00:00:00"/>
        <d v="2026-07-23T00:00:00"/>
        <d v="2026-07-14T00:00:00"/>
        <d v="2026-07-22T00:00:00"/>
        <d v="2026-07-08T00:00:00"/>
        <d v="2026-07-12T00:00:00"/>
        <d v="2026-07-19T00:00:00"/>
        <d v="2026-07-11T00:00:00"/>
        <d v="2026-07-16T00:00:00"/>
        <d v="2026-07-01T00:00:00"/>
        <d v="2026-07-17T00:00:00"/>
        <d v="2026-07-28T00:00:00"/>
        <d v="2026-07-21T00:00:00"/>
        <d v="2026-08-02T00:00:00"/>
        <d v="2026-08-22T00:00:00"/>
        <d v="2026-08-14T00:00:00"/>
        <d v="2026-08-12T00:00:00"/>
        <d v="2026-08-25T00:00:00"/>
        <d v="2026-08-04T00:00:00"/>
        <d v="2026-08-11T00:00:00"/>
        <d v="2026-08-07T00:00:00"/>
        <d v="2026-08-16T00:00:00"/>
        <d v="2026-08-17T00:00:00"/>
        <d v="2026-08-24T00:00:00"/>
        <d v="2026-08-27T00:00:00"/>
        <d v="2026-08-19T00:00:00"/>
        <d v="2026-08-21T00:00:00"/>
        <d v="2026-08-08T00:00:00"/>
        <d v="2026-08-28T00:00:00"/>
        <d v="2026-08-06T00:00:00"/>
        <d v="2026-08-09T00:00:00"/>
        <d v="2026-08-10T00:00:00"/>
        <d v="2026-08-23T00:00:00"/>
        <d v="2026-08-18T00:00:00"/>
        <d v="2026-08-26T00:00:00"/>
        <d v="2026-08-13T00:00:00"/>
        <d v="2026-08-20T00:00:00"/>
        <d v="2026-08-03T00:00:00"/>
        <d v="2026-08-05T00:00:00"/>
        <d v="2026-08-15T00:00:00"/>
        <d v="2026-09-28T00:00:00"/>
        <d v="2026-09-16T00:00:00"/>
        <d v="2026-09-05T00:00:00"/>
        <d v="2026-09-15T00:00:00"/>
        <d v="2026-09-09T00:00:00"/>
        <d v="2026-09-03T00:00:00"/>
        <d v="2026-09-13T00:00:00"/>
        <d v="2026-09-22T00:00:00"/>
        <d v="2026-09-12T00:00:00"/>
        <d v="2026-09-25T00:00:00"/>
        <d v="2026-09-24T00:00:00"/>
        <d v="2026-09-08T00:00:00"/>
        <d v="2026-09-02T00:00:00"/>
        <d v="2026-09-01T00:00:00"/>
        <d v="2026-09-20T00:00:00"/>
        <d v="2026-09-10T00:00:00"/>
        <d v="2026-09-19T00:00:00"/>
        <d v="2026-09-18T00:00:00"/>
        <d v="2026-09-14T00:00:00"/>
        <d v="2026-09-21T00:00:00"/>
        <d v="2026-09-04T00:00:00"/>
        <d v="2026-09-23T00:00:00"/>
        <d v="2026-09-17T00:00:00"/>
        <d v="2026-09-11T00:00:00"/>
        <d v="2026-09-27T00:00:00"/>
        <d v="2026-10-19T00:00:00"/>
        <d v="2026-10-09T00:00:00"/>
        <d v="2026-10-07T00:00:00"/>
        <d v="2026-10-03T00:00:00"/>
        <d v="2026-10-05T00:00:00"/>
        <d v="2026-10-12T00:00:00"/>
        <d v="2026-10-27T00:00:00"/>
        <d v="2026-10-20T00:00:00"/>
        <d v="2026-10-22T00:00:00"/>
        <d v="2026-10-25T00:00:00"/>
        <d v="2026-10-23T00:00:00"/>
        <d v="2026-10-11T00:00:00"/>
        <d v="2026-10-10T00:00:00"/>
        <d v="2026-10-04T00:00:00"/>
        <d v="2026-10-18T00:00:00"/>
        <d v="2026-10-01T00:00:00"/>
        <d v="2026-10-14T00:00:00"/>
        <d v="2026-10-26T00:00:00"/>
        <d v="2026-10-24T00:00:00"/>
        <d v="2026-10-13T00:00:00"/>
        <d v="2026-10-15T00:00:00"/>
        <d v="2026-10-21T00:00:00"/>
        <d v="2026-10-17T00:00:00"/>
        <d v="2026-10-16T00:00:00"/>
        <d v="2026-10-06T00:00:00"/>
        <d v="2026-11-21T00:00:00"/>
        <d v="2026-11-04T00:00:00"/>
        <d v="2026-11-27T00:00:00"/>
        <d v="2026-11-22T00:00:00"/>
        <d v="2026-11-10T00:00:00"/>
        <d v="2026-11-05T00:00:00"/>
        <d v="2026-11-13T00:00:00"/>
        <d v="2026-11-18T00:00:00"/>
        <d v="2026-11-15T00:00:00"/>
        <d v="2026-11-01T00:00:00"/>
        <d v="2026-11-26T00:00:00"/>
        <d v="2026-11-08T00:00:00"/>
        <d v="2026-11-19T00:00:00"/>
        <d v="2026-11-02T00:00:00"/>
        <d v="2026-11-07T00:00:00"/>
        <d v="2026-11-12T00:00:00"/>
        <d v="2026-11-20T00:00:00"/>
        <d v="2026-11-28T00:00:00"/>
        <d v="2026-11-23T00:00:00"/>
        <d v="2026-11-14T00:00:00"/>
        <d v="2026-11-11T00:00:00"/>
        <d v="2026-11-25T00:00:00"/>
        <d v="2026-11-09T00:00:00"/>
        <d v="2026-11-03T00:00:00"/>
        <d v="2026-11-06T00:00:00"/>
        <d v="2026-11-16T00:00:00"/>
        <d v="2026-11-17T00:00:00"/>
        <d v="2026-11-24T00:00:00"/>
        <d v="2026-12-26T00:00:00"/>
        <d v="2026-12-21T00:00:00"/>
        <d v="2026-12-12T00:00:00"/>
        <d v="2026-12-19T00:00:00"/>
        <d v="2026-12-06T00:00:00"/>
        <d v="2026-12-03T00:00:00"/>
        <d v="2026-12-02T00:00:00"/>
        <d v="2026-12-23T00:00:00"/>
        <d v="2026-12-13T00:00:00"/>
        <d v="2026-12-20T00:00:00"/>
        <d v="2026-12-17T00:00:00"/>
        <d v="2026-12-14T00:00:00"/>
        <d v="2026-12-24T00:00:00"/>
        <d v="2026-12-25T00:00:00"/>
        <d v="2026-12-09T00:00:00"/>
        <d v="2026-12-22T00:00:00"/>
        <d v="2026-12-01T00:00:00"/>
        <d v="2026-12-16T00:00:00"/>
        <d v="2026-12-28T00:00:00"/>
        <d v="2026-12-18T00:00:00"/>
        <d v="2026-12-15T00:00:00"/>
        <d v="2026-12-04T00:00:00"/>
        <d v="2026-12-05T00:00:00"/>
        <d v="2026-12-08T00:00:00"/>
        <d v="2026-12-27T00:00:00"/>
      </sharedItems>
      <fieldGroup par="9"/>
    </cacheField>
    <cacheField name="Department" numFmtId="0">
      <sharedItems count="5">
        <s v="Sales"/>
        <s v="Marketing"/>
        <s v="Engineering"/>
        <s v="Operations"/>
        <s v="G&amp;A"/>
      </sharedItems>
    </cacheField>
    <cacheField name="Region" numFmtId="0">
      <sharedItems count="3">
        <s v="NZ"/>
        <s v="Global"/>
        <s v="AU"/>
      </sharedItems>
    </cacheField>
    <cacheField name="Account Category" numFmtId="0">
      <sharedItems count="9">
        <s v="Revenue"/>
        <s v="Sales Commissions"/>
        <s v="Travel"/>
        <s v="Software"/>
        <s v="Marketing Spend"/>
        <s v="Professional Services"/>
        <s v="Salaries"/>
        <s v="Cloud Hosting"/>
        <s v="Facilities"/>
      </sharedItems>
    </cacheField>
    <cacheField name="Vendor/Customer" numFmtId="0">
      <sharedItems/>
    </cacheField>
    <cacheField name="Actual Amount (NZD)" numFmtId="165">
      <sharedItems containsSemiMixedTypes="0" containsString="0" containsNumber="1" minValue="275.88" maxValue="127121.79"/>
    </cacheField>
    <cacheField name="Budget Amount (NZD)" numFmtId="165">
      <sharedItems containsSemiMixedTypes="0" containsString="0" containsNumber="1" minValue="360" maxValue="90000"/>
    </cacheField>
    <cacheField name="Days (Date)" numFmtId="0" databaseField="0">
      <fieldGroup base="1">
        <rangePr groupBy="days" startDate="2026-01-01T00:00:00" endDate="2026-12-2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6"/>
        </groupItems>
      </fieldGroup>
    </cacheField>
    <cacheField name="Months (Date)" numFmtId="0" databaseField="0">
      <fieldGroup base="1">
        <rangePr groupBy="months" startDate="2026-01-01T00:00:00" endDate="2026-12-29T00:00:00"/>
        <groupItems count="14">
          <s v="&lt;01/01/2026"/>
          <s v="Jan"/>
          <s v="Feb"/>
          <s v="Mar"/>
          <s v="Apr"/>
          <s v="May"/>
          <s v="Jun"/>
          <s v="Jul"/>
          <s v="Aug"/>
          <s v="Sep"/>
          <s v="Oct"/>
          <s v="Nov"/>
          <s v="Dec"/>
          <s v="&gt;29/12/2026"/>
        </groupItems>
      </fieldGroup>
    </cacheField>
    <cacheField name="Variance" numFmtId="0" formula="'Actual Amount (NZD)' -'Budget Amount (NZD)'" databaseField="0"/>
    <cacheField name="Variance %" numFmtId="0" formula="('Actual Amount (NZD)'-'Budget Amount (NZD)' ) /'Budget Amount (NZD)'" databaseField="0"/>
    <cacheField name="Field1" numFmtId="0" formula="'Actual Amount (NZD)'-'Budget Amount (NZD)'" databaseField="0"/>
    <cacheField name="Variance % Budget" numFmtId="0" formula="('Actual Amount (NZD)' -'Budget Amount (NZD)' )/'Budget Amount (NZD)'" databaseField="0"/>
  </cacheFields>
  <extLst>
    <ext xmlns:x14="http://schemas.microsoft.com/office/spreadsheetml/2009/9/main" uri="{725AE2AE-9491-48be-B2B4-4EB974FC3084}">
      <x14:pivotCacheDefinition pivotCacheId="1328374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8">
  <r>
    <x v="0"/>
    <x v="0"/>
    <x v="0"/>
    <x v="0"/>
    <x v="0"/>
    <s v="Meridian Energy"/>
    <n v="74392.11"/>
    <n v="90000"/>
  </r>
  <r>
    <x v="1"/>
    <x v="1"/>
    <x v="0"/>
    <x v="1"/>
    <x v="0"/>
    <s v="Contact Energy"/>
    <n v="85885.27"/>
    <n v="90000"/>
  </r>
  <r>
    <x v="2"/>
    <x v="2"/>
    <x v="0"/>
    <x v="0"/>
    <x v="1"/>
    <s v="Payroll - Commissions"/>
    <n v="7171.63"/>
    <n v="9000"/>
  </r>
  <r>
    <x v="3"/>
    <x v="3"/>
    <x v="0"/>
    <x v="1"/>
    <x v="1"/>
    <s v="Payroll - Commissions"/>
    <n v="7644.77"/>
    <n v="9000"/>
  </r>
  <r>
    <x v="4"/>
    <x v="4"/>
    <x v="0"/>
    <x v="2"/>
    <x v="2"/>
    <s v="Air New Zealand"/>
    <n v="1392.84"/>
    <n v="1333.33"/>
  </r>
  <r>
    <x v="5"/>
    <x v="5"/>
    <x v="0"/>
    <x v="0"/>
    <x v="2"/>
    <s v="Uber"/>
    <n v="1465.43"/>
    <n v="1333.33"/>
  </r>
  <r>
    <x v="6"/>
    <x v="6"/>
    <x v="0"/>
    <x v="0"/>
    <x v="2"/>
    <s v="Uber"/>
    <n v="1143.54"/>
    <n v="1333.33"/>
  </r>
  <r>
    <x v="7"/>
    <x v="7"/>
    <x v="0"/>
    <x v="0"/>
    <x v="3"/>
    <s v="HubSpot"/>
    <n v="1174.95"/>
    <n v="1250"/>
  </r>
  <r>
    <x v="8"/>
    <x v="4"/>
    <x v="0"/>
    <x v="2"/>
    <x v="3"/>
    <s v="Microsoft 365"/>
    <n v="1314.83"/>
    <n v="1250"/>
  </r>
  <r>
    <x v="9"/>
    <x v="8"/>
    <x v="1"/>
    <x v="1"/>
    <x v="4"/>
    <s v="Meta Ads"/>
    <n v="5686.89"/>
    <n v="7000"/>
  </r>
  <r>
    <x v="10"/>
    <x v="3"/>
    <x v="1"/>
    <x v="1"/>
    <x v="4"/>
    <s v="TVNZ"/>
    <n v="6276.12"/>
    <n v="7000"/>
  </r>
  <r>
    <x v="11"/>
    <x v="9"/>
    <x v="1"/>
    <x v="2"/>
    <x v="4"/>
    <s v="Meta Ads"/>
    <n v="7270.73"/>
    <n v="7000"/>
  </r>
  <r>
    <x v="12"/>
    <x v="6"/>
    <x v="1"/>
    <x v="0"/>
    <x v="4"/>
    <s v="LinkedIn Ads"/>
    <n v="7564.42"/>
    <n v="7000"/>
  </r>
  <r>
    <x v="13"/>
    <x v="10"/>
    <x v="1"/>
    <x v="0"/>
    <x v="4"/>
    <s v="Meta Ads"/>
    <n v="8243.61"/>
    <n v="7000"/>
  </r>
  <r>
    <x v="14"/>
    <x v="11"/>
    <x v="1"/>
    <x v="2"/>
    <x v="3"/>
    <s v="Slack"/>
    <n v="586.02"/>
    <n v="600"/>
  </r>
  <r>
    <x v="15"/>
    <x v="12"/>
    <x v="1"/>
    <x v="0"/>
    <x v="3"/>
    <s v="Atlassian"/>
    <n v="561.04999999999995"/>
    <n v="600"/>
  </r>
  <r>
    <x v="16"/>
    <x v="13"/>
    <x v="1"/>
    <x v="2"/>
    <x v="3"/>
    <s v="Atlassian"/>
    <n v="660.55"/>
    <n v="600"/>
  </r>
  <r>
    <x v="17"/>
    <x v="14"/>
    <x v="1"/>
    <x v="0"/>
    <x v="3"/>
    <s v="Adobe"/>
    <n v="632.74"/>
    <n v="600"/>
  </r>
  <r>
    <x v="18"/>
    <x v="15"/>
    <x v="1"/>
    <x v="1"/>
    <x v="3"/>
    <s v="Zoom"/>
    <n v="523.44000000000005"/>
    <n v="600"/>
  </r>
  <r>
    <x v="19"/>
    <x v="2"/>
    <x v="1"/>
    <x v="1"/>
    <x v="2"/>
    <s v="Uber"/>
    <n v="683.8"/>
    <n v="625"/>
  </r>
  <r>
    <x v="20"/>
    <x v="16"/>
    <x v="1"/>
    <x v="0"/>
    <x v="2"/>
    <s v="Uber"/>
    <n v="540.33000000000004"/>
    <n v="625"/>
  </r>
  <r>
    <x v="21"/>
    <x v="12"/>
    <x v="1"/>
    <x v="2"/>
    <x v="2"/>
    <s v="Ibis Hotels"/>
    <n v="552.41999999999996"/>
    <n v="625"/>
  </r>
  <r>
    <x v="22"/>
    <x v="3"/>
    <x v="1"/>
    <x v="1"/>
    <x v="2"/>
    <s v="Hertz Rental"/>
    <n v="567.09"/>
    <n v="625"/>
  </r>
  <r>
    <x v="23"/>
    <x v="17"/>
    <x v="1"/>
    <x v="1"/>
    <x v="5"/>
    <s v="PWC NZ"/>
    <n v="1175.31"/>
    <n v="1200"/>
  </r>
  <r>
    <x v="24"/>
    <x v="18"/>
    <x v="1"/>
    <x v="0"/>
    <x v="5"/>
    <s v="KPMG NZ"/>
    <n v="1346.99"/>
    <n v="1200"/>
  </r>
  <r>
    <x v="25"/>
    <x v="1"/>
    <x v="1"/>
    <x v="1"/>
    <x v="5"/>
    <s v="Legal Counsel Ltd"/>
    <n v="1250.75"/>
    <n v="1200"/>
  </r>
  <r>
    <x v="26"/>
    <x v="0"/>
    <x v="1"/>
    <x v="2"/>
    <x v="5"/>
    <s v="Recruitment Partners"/>
    <n v="1031.5899999999999"/>
    <n v="1200"/>
  </r>
  <r>
    <x v="27"/>
    <x v="16"/>
    <x v="1"/>
    <x v="2"/>
    <x v="5"/>
    <s v="Deloitte NZ"/>
    <n v="954.55"/>
    <n v="1200"/>
  </r>
  <r>
    <x v="28"/>
    <x v="13"/>
    <x v="2"/>
    <x v="1"/>
    <x v="6"/>
    <s v="Payroll - Salaries"/>
    <n v="26283.05"/>
    <n v="31666.67"/>
  </r>
  <r>
    <x v="29"/>
    <x v="8"/>
    <x v="2"/>
    <x v="1"/>
    <x v="6"/>
    <s v="Payroll - Salaries"/>
    <n v="24755.86"/>
    <n v="31666.67"/>
  </r>
  <r>
    <x v="30"/>
    <x v="18"/>
    <x v="2"/>
    <x v="1"/>
    <x v="6"/>
    <s v="Payroll - Salaries"/>
    <n v="27730.720000000001"/>
    <n v="31666.67"/>
  </r>
  <r>
    <x v="31"/>
    <x v="6"/>
    <x v="2"/>
    <x v="1"/>
    <x v="3"/>
    <s v="Slack"/>
    <n v="2682.89"/>
    <n v="2250"/>
  </r>
  <r>
    <x v="32"/>
    <x v="19"/>
    <x v="2"/>
    <x v="1"/>
    <x v="3"/>
    <s v="Zoom"/>
    <n v="2070.1999999999998"/>
    <n v="2250"/>
  </r>
  <r>
    <x v="33"/>
    <x v="20"/>
    <x v="2"/>
    <x v="2"/>
    <x v="7"/>
    <s v="Google Cloud"/>
    <n v="3006.49"/>
    <n v="4000"/>
  </r>
  <r>
    <x v="34"/>
    <x v="6"/>
    <x v="2"/>
    <x v="2"/>
    <x v="7"/>
    <s v="AWS"/>
    <n v="4943.78"/>
    <n v="4000"/>
  </r>
  <r>
    <x v="35"/>
    <x v="10"/>
    <x v="2"/>
    <x v="1"/>
    <x v="7"/>
    <s v="Google Cloud"/>
    <n v="4825.26"/>
    <n v="4000"/>
  </r>
  <r>
    <x v="36"/>
    <x v="12"/>
    <x v="2"/>
    <x v="1"/>
    <x v="5"/>
    <s v="PWC NZ"/>
    <n v="1254.79"/>
    <n v="1250"/>
  </r>
  <r>
    <x v="37"/>
    <x v="18"/>
    <x v="2"/>
    <x v="2"/>
    <x v="5"/>
    <s v="Recruitment Partners"/>
    <n v="1414.07"/>
    <n v="1250"/>
  </r>
  <r>
    <x v="38"/>
    <x v="21"/>
    <x v="2"/>
    <x v="0"/>
    <x v="5"/>
    <s v="Deloitte NZ"/>
    <n v="1311.84"/>
    <n v="1250"/>
  </r>
  <r>
    <x v="39"/>
    <x v="11"/>
    <x v="2"/>
    <x v="0"/>
    <x v="5"/>
    <s v="KPMG NZ"/>
    <n v="1518.19"/>
    <n v="1250"/>
  </r>
  <r>
    <x v="40"/>
    <x v="1"/>
    <x v="3"/>
    <x v="0"/>
    <x v="6"/>
    <s v="Payroll - Salaries"/>
    <n v="12186.1"/>
    <n v="14000"/>
  </r>
  <r>
    <x v="41"/>
    <x v="11"/>
    <x v="3"/>
    <x v="0"/>
    <x v="6"/>
    <s v="Payroll - Salaries"/>
    <n v="15623.35"/>
    <n v="14000"/>
  </r>
  <r>
    <x v="42"/>
    <x v="0"/>
    <x v="3"/>
    <x v="1"/>
    <x v="6"/>
    <s v="Payroll - Salaries"/>
    <n v="15860.84"/>
    <n v="14000"/>
  </r>
  <r>
    <x v="43"/>
    <x v="22"/>
    <x v="3"/>
    <x v="2"/>
    <x v="8"/>
    <s v="Cleaning Services Ltd"/>
    <n v="5069.18"/>
    <n v="5000"/>
  </r>
  <r>
    <x v="44"/>
    <x v="6"/>
    <x v="3"/>
    <x v="0"/>
    <x v="8"/>
    <s v="Auckland CBD Landlord"/>
    <n v="6072.28"/>
    <n v="5000"/>
  </r>
  <r>
    <x v="45"/>
    <x v="13"/>
    <x v="3"/>
    <x v="1"/>
    <x v="8"/>
    <s v="Wellington Office Park"/>
    <n v="4529.29"/>
    <n v="5000"/>
  </r>
  <r>
    <x v="46"/>
    <x v="2"/>
    <x v="3"/>
    <x v="1"/>
    <x v="3"/>
    <s v="Salesforce"/>
    <n v="390.3"/>
    <n v="400"/>
  </r>
  <r>
    <x v="47"/>
    <x v="1"/>
    <x v="3"/>
    <x v="0"/>
    <x v="3"/>
    <s v="Adobe"/>
    <n v="367.62"/>
    <n v="400"/>
  </r>
  <r>
    <x v="48"/>
    <x v="23"/>
    <x v="3"/>
    <x v="0"/>
    <x v="3"/>
    <s v="Microsoft 365"/>
    <n v="417.69"/>
    <n v="400"/>
  </r>
  <r>
    <x v="49"/>
    <x v="2"/>
    <x v="3"/>
    <x v="1"/>
    <x v="3"/>
    <s v="Microsoft 365"/>
    <n v="426.22"/>
    <n v="400"/>
  </r>
  <r>
    <x v="50"/>
    <x v="24"/>
    <x v="3"/>
    <x v="0"/>
    <x v="3"/>
    <s v="Adobe"/>
    <n v="471.93"/>
    <n v="400"/>
  </r>
  <r>
    <x v="51"/>
    <x v="12"/>
    <x v="3"/>
    <x v="2"/>
    <x v="5"/>
    <s v="Recruitment Partners"/>
    <n v="1265.24"/>
    <n v="1166.67"/>
  </r>
  <r>
    <x v="52"/>
    <x v="1"/>
    <x v="3"/>
    <x v="0"/>
    <x v="5"/>
    <s v="Recruitment Partners"/>
    <n v="1296.96"/>
    <n v="1166.67"/>
  </r>
  <r>
    <x v="53"/>
    <x v="21"/>
    <x v="3"/>
    <x v="2"/>
    <x v="5"/>
    <s v="Legal Counsel Ltd"/>
    <n v="1016.75"/>
    <n v="1166.67"/>
  </r>
  <r>
    <x v="54"/>
    <x v="25"/>
    <x v="4"/>
    <x v="0"/>
    <x v="6"/>
    <s v="Payroll - Salaries"/>
    <n v="10113.9"/>
    <n v="12666.67"/>
  </r>
  <r>
    <x v="55"/>
    <x v="10"/>
    <x v="4"/>
    <x v="1"/>
    <x v="6"/>
    <s v="Payroll - Salaries"/>
    <n v="12103.65"/>
    <n v="12666.67"/>
  </r>
  <r>
    <x v="56"/>
    <x v="20"/>
    <x v="4"/>
    <x v="0"/>
    <x v="6"/>
    <s v="Payroll - Salaries"/>
    <n v="9883.8799999999992"/>
    <n v="12666.67"/>
  </r>
  <r>
    <x v="57"/>
    <x v="18"/>
    <x v="4"/>
    <x v="0"/>
    <x v="8"/>
    <s v="Cleaning Services Ltd"/>
    <n v="3383.18"/>
    <n v="4000"/>
  </r>
  <r>
    <x v="58"/>
    <x v="17"/>
    <x v="4"/>
    <x v="0"/>
    <x v="8"/>
    <s v="Cleaning Services Ltd"/>
    <n v="3843.76"/>
    <n v="4000"/>
  </r>
  <r>
    <x v="59"/>
    <x v="10"/>
    <x v="4"/>
    <x v="0"/>
    <x v="5"/>
    <s v="Recruitment Partners"/>
    <n v="2266.9899999999998"/>
    <n v="2333.33"/>
  </r>
  <r>
    <x v="60"/>
    <x v="18"/>
    <x v="4"/>
    <x v="0"/>
    <x v="5"/>
    <s v="Deloitte NZ"/>
    <n v="1809.02"/>
    <n v="2333.33"/>
  </r>
  <r>
    <x v="61"/>
    <x v="10"/>
    <x v="4"/>
    <x v="0"/>
    <x v="5"/>
    <s v="PWC NZ"/>
    <n v="2830.76"/>
    <n v="2333.33"/>
  </r>
  <r>
    <x v="62"/>
    <x v="12"/>
    <x v="4"/>
    <x v="1"/>
    <x v="3"/>
    <s v="HubSpot"/>
    <n v="595.69000000000005"/>
    <n v="600"/>
  </r>
  <r>
    <x v="63"/>
    <x v="14"/>
    <x v="4"/>
    <x v="1"/>
    <x v="3"/>
    <s v="Zoom"/>
    <n v="720.73"/>
    <n v="600"/>
  </r>
  <r>
    <x v="64"/>
    <x v="17"/>
    <x v="4"/>
    <x v="0"/>
    <x v="3"/>
    <s v="HubSpot"/>
    <n v="745.59"/>
    <n v="600"/>
  </r>
  <r>
    <x v="65"/>
    <x v="26"/>
    <x v="0"/>
    <x v="2"/>
    <x v="0"/>
    <s v="Mainfreight"/>
    <n v="42091.91"/>
    <n v="36000"/>
  </r>
  <r>
    <x v="66"/>
    <x v="27"/>
    <x v="0"/>
    <x v="0"/>
    <x v="0"/>
    <s v="Fonterra Ltd"/>
    <n v="30376.38"/>
    <n v="36000"/>
  </r>
  <r>
    <x v="67"/>
    <x v="28"/>
    <x v="0"/>
    <x v="1"/>
    <x v="0"/>
    <s v="Spark NZ"/>
    <n v="27722.25"/>
    <n v="36000"/>
  </r>
  <r>
    <x v="68"/>
    <x v="29"/>
    <x v="0"/>
    <x v="0"/>
    <x v="0"/>
    <s v="Meridian Energy"/>
    <n v="28196.97"/>
    <n v="36000"/>
  </r>
  <r>
    <x v="69"/>
    <x v="30"/>
    <x v="0"/>
    <x v="1"/>
    <x v="0"/>
    <s v="Meridian Energy"/>
    <n v="40579.22"/>
    <n v="36000"/>
  </r>
  <r>
    <x v="70"/>
    <x v="31"/>
    <x v="0"/>
    <x v="1"/>
    <x v="1"/>
    <s v="Payroll - Commissions"/>
    <n v="6283.56"/>
    <n v="6000"/>
  </r>
  <r>
    <x v="71"/>
    <x v="32"/>
    <x v="0"/>
    <x v="2"/>
    <x v="1"/>
    <s v="Payroll - Commissions"/>
    <n v="6472.12"/>
    <n v="6000"/>
  </r>
  <r>
    <x v="72"/>
    <x v="33"/>
    <x v="0"/>
    <x v="2"/>
    <x v="1"/>
    <s v="Payroll - Commissions"/>
    <n v="5112.78"/>
    <n v="6000"/>
  </r>
  <r>
    <x v="73"/>
    <x v="34"/>
    <x v="0"/>
    <x v="2"/>
    <x v="2"/>
    <s v="Uber"/>
    <n v="1263.8599999999999"/>
    <n v="1333.33"/>
  </r>
  <r>
    <x v="74"/>
    <x v="35"/>
    <x v="0"/>
    <x v="2"/>
    <x v="2"/>
    <s v="Air New Zealand"/>
    <n v="1210.78"/>
    <n v="1333.33"/>
  </r>
  <r>
    <x v="75"/>
    <x v="32"/>
    <x v="0"/>
    <x v="0"/>
    <x v="2"/>
    <s v="Air New Zealand"/>
    <n v="1305.52"/>
    <n v="1333.33"/>
  </r>
  <r>
    <x v="76"/>
    <x v="36"/>
    <x v="0"/>
    <x v="1"/>
    <x v="3"/>
    <s v="Salesforce"/>
    <n v="1070.72"/>
    <n v="1250"/>
  </r>
  <r>
    <x v="77"/>
    <x v="37"/>
    <x v="0"/>
    <x v="2"/>
    <x v="3"/>
    <s v="Slack"/>
    <n v="1488.04"/>
    <n v="1250"/>
  </r>
  <r>
    <x v="78"/>
    <x v="38"/>
    <x v="1"/>
    <x v="0"/>
    <x v="4"/>
    <s v="Event Sponsorship Co"/>
    <n v="8479.56"/>
    <n v="8750"/>
  </r>
  <r>
    <x v="79"/>
    <x v="26"/>
    <x v="1"/>
    <x v="2"/>
    <x v="4"/>
    <s v="Event Sponsorship Co"/>
    <n v="9238.59"/>
    <n v="8750"/>
  </r>
  <r>
    <x v="80"/>
    <x v="39"/>
    <x v="1"/>
    <x v="1"/>
    <x v="4"/>
    <s v="TVNZ"/>
    <n v="6596.73"/>
    <n v="8750"/>
  </r>
  <r>
    <x v="81"/>
    <x v="40"/>
    <x v="1"/>
    <x v="2"/>
    <x v="4"/>
    <s v="Google Ads"/>
    <n v="10638.93"/>
    <n v="8750"/>
  </r>
  <r>
    <x v="82"/>
    <x v="41"/>
    <x v="1"/>
    <x v="0"/>
    <x v="3"/>
    <s v="Adobe"/>
    <n v="896.14"/>
    <n v="750"/>
  </r>
  <r>
    <x v="83"/>
    <x v="31"/>
    <x v="1"/>
    <x v="0"/>
    <x v="3"/>
    <s v="Salesforce"/>
    <n v="664.63"/>
    <n v="750"/>
  </r>
  <r>
    <x v="84"/>
    <x v="34"/>
    <x v="1"/>
    <x v="1"/>
    <x v="3"/>
    <s v="Atlassian"/>
    <n v="691.08"/>
    <n v="750"/>
  </r>
  <r>
    <x v="85"/>
    <x v="36"/>
    <x v="1"/>
    <x v="2"/>
    <x v="3"/>
    <s v="HubSpot"/>
    <n v="752.03"/>
    <n v="750"/>
  </r>
  <r>
    <x v="86"/>
    <x v="39"/>
    <x v="1"/>
    <x v="0"/>
    <x v="2"/>
    <s v="Uber"/>
    <n v="1333.93"/>
    <n v="1250"/>
  </r>
  <r>
    <x v="87"/>
    <x v="35"/>
    <x v="1"/>
    <x v="0"/>
    <x v="2"/>
    <s v="Qantas"/>
    <n v="939.72"/>
    <n v="1250"/>
  </r>
  <r>
    <x v="88"/>
    <x v="38"/>
    <x v="1"/>
    <x v="0"/>
    <x v="5"/>
    <s v="Legal Counsel Ltd"/>
    <n v="1680.92"/>
    <n v="1500"/>
  </r>
  <r>
    <x v="89"/>
    <x v="42"/>
    <x v="1"/>
    <x v="1"/>
    <x v="5"/>
    <s v="PWC NZ"/>
    <n v="1132.25"/>
    <n v="1500"/>
  </r>
  <r>
    <x v="90"/>
    <x v="43"/>
    <x v="1"/>
    <x v="1"/>
    <x v="5"/>
    <s v="Recruitment Partners"/>
    <n v="1152.02"/>
    <n v="1500"/>
  </r>
  <r>
    <x v="91"/>
    <x v="44"/>
    <x v="1"/>
    <x v="1"/>
    <x v="5"/>
    <s v="Deloitte NZ"/>
    <n v="1236.07"/>
    <n v="1500"/>
  </r>
  <r>
    <x v="92"/>
    <x v="26"/>
    <x v="2"/>
    <x v="2"/>
    <x v="6"/>
    <s v="Payroll - Salaries"/>
    <n v="28487.91"/>
    <n v="23750"/>
  </r>
  <r>
    <x v="93"/>
    <x v="37"/>
    <x v="2"/>
    <x v="2"/>
    <x v="6"/>
    <s v="Payroll - Salaries"/>
    <n v="20307.16"/>
    <n v="23750"/>
  </r>
  <r>
    <x v="94"/>
    <x v="45"/>
    <x v="2"/>
    <x v="2"/>
    <x v="6"/>
    <s v="Payroll - Salaries"/>
    <n v="27076.38"/>
    <n v="23750"/>
  </r>
  <r>
    <x v="95"/>
    <x v="37"/>
    <x v="2"/>
    <x v="1"/>
    <x v="6"/>
    <s v="Payroll - Salaries"/>
    <n v="26712.55"/>
    <n v="23750"/>
  </r>
  <r>
    <x v="96"/>
    <x v="41"/>
    <x v="2"/>
    <x v="2"/>
    <x v="3"/>
    <s v="Slack"/>
    <n v="1143.5899999999999"/>
    <n v="1500"/>
  </r>
  <r>
    <x v="97"/>
    <x v="45"/>
    <x v="2"/>
    <x v="2"/>
    <x v="3"/>
    <s v="Atlassian"/>
    <n v="1726.68"/>
    <n v="1500"/>
  </r>
  <r>
    <x v="98"/>
    <x v="26"/>
    <x v="2"/>
    <x v="0"/>
    <x v="3"/>
    <s v="Atlassian"/>
    <n v="1325.1"/>
    <n v="1500"/>
  </r>
  <r>
    <x v="99"/>
    <x v="45"/>
    <x v="2"/>
    <x v="2"/>
    <x v="7"/>
    <s v="Azure"/>
    <n v="7116.5"/>
    <n v="6000"/>
  </r>
  <r>
    <x v="100"/>
    <x v="46"/>
    <x v="2"/>
    <x v="0"/>
    <x v="7"/>
    <s v="Azure"/>
    <n v="5098.72"/>
    <n v="6000"/>
  </r>
  <r>
    <x v="101"/>
    <x v="34"/>
    <x v="2"/>
    <x v="0"/>
    <x v="5"/>
    <s v="PWC NZ"/>
    <n v="1076.83"/>
    <n v="1250"/>
  </r>
  <r>
    <x v="102"/>
    <x v="45"/>
    <x v="2"/>
    <x v="2"/>
    <x v="5"/>
    <s v="Deloitte NZ"/>
    <n v="1142.6600000000001"/>
    <n v="1250"/>
  </r>
  <r>
    <x v="103"/>
    <x v="47"/>
    <x v="2"/>
    <x v="2"/>
    <x v="5"/>
    <s v="Legal Counsel Ltd"/>
    <n v="1156.97"/>
    <n v="1250"/>
  </r>
  <r>
    <x v="104"/>
    <x v="38"/>
    <x v="2"/>
    <x v="1"/>
    <x v="5"/>
    <s v="KPMG NZ"/>
    <n v="1550.72"/>
    <n v="1250"/>
  </r>
  <r>
    <x v="105"/>
    <x v="36"/>
    <x v="3"/>
    <x v="0"/>
    <x v="6"/>
    <s v="Payroll - Salaries"/>
    <n v="24958.9"/>
    <n v="21000"/>
  </r>
  <r>
    <x v="106"/>
    <x v="36"/>
    <x v="3"/>
    <x v="1"/>
    <x v="6"/>
    <s v="Payroll - Salaries"/>
    <n v="25856.61"/>
    <n v="21000"/>
  </r>
  <r>
    <x v="107"/>
    <x v="41"/>
    <x v="3"/>
    <x v="1"/>
    <x v="8"/>
    <s v="Wellington Office Park"/>
    <n v="7254.61"/>
    <n v="7500"/>
  </r>
  <r>
    <x v="108"/>
    <x v="47"/>
    <x v="3"/>
    <x v="2"/>
    <x v="8"/>
    <s v="CBRE Property"/>
    <n v="7898.28"/>
    <n v="7500"/>
  </r>
  <r>
    <x v="109"/>
    <x v="27"/>
    <x v="3"/>
    <x v="1"/>
    <x v="3"/>
    <s v="Atlassian"/>
    <n v="338.02"/>
    <n v="400"/>
  </r>
  <r>
    <x v="110"/>
    <x v="26"/>
    <x v="3"/>
    <x v="2"/>
    <x v="3"/>
    <s v="Adobe"/>
    <n v="300.33999999999997"/>
    <n v="400"/>
  </r>
  <r>
    <x v="111"/>
    <x v="41"/>
    <x v="3"/>
    <x v="1"/>
    <x v="3"/>
    <s v="Atlassian"/>
    <n v="443.89"/>
    <n v="400"/>
  </r>
  <r>
    <x v="112"/>
    <x v="48"/>
    <x v="3"/>
    <x v="1"/>
    <x v="3"/>
    <s v="Microsoft 365"/>
    <n v="339.41"/>
    <n v="400"/>
  </r>
  <r>
    <x v="113"/>
    <x v="31"/>
    <x v="3"/>
    <x v="1"/>
    <x v="3"/>
    <s v="Slack"/>
    <n v="484.15"/>
    <n v="400"/>
  </r>
  <r>
    <x v="114"/>
    <x v="47"/>
    <x v="3"/>
    <x v="1"/>
    <x v="5"/>
    <s v="KPMG NZ"/>
    <n v="2100.04"/>
    <n v="1750"/>
  </r>
  <r>
    <x v="115"/>
    <x v="30"/>
    <x v="3"/>
    <x v="1"/>
    <x v="5"/>
    <s v="KPMG NZ"/>
    <n v="1669.84"/>
    <n v="1750"/>
  </r>
  <r>
    <x v="116"/>
    <x v="30"/>
    <x v="4"/>
    <x v="0"/>
    <x v="6"/>
    <s v="Payroll - Salaries"/>
    <n v="12162.83"/>
    <n v="12666.67"/>
  </r>
  <r>
    <x v="117"/>
    <x v="39"/>
    <x v="4"/>
    <x v="1"/>
    <x v="6"/>
    <s v="Payroll - Salaries"/>
    <n v="12071.81"/>
    <n v="12666.67"/>
  </r>
  <r>
    <x v="118"/>
    <x v="48"/>
    <x v="4"/>
    <x v="1"/>
    <x v="6"/>
    <s v="Payroll - Salaries"/>
    <n v="11317.12"/>
    <n v="12666.67"/>
  </r>
  <r>
    <x v="119"/>
    <x v="49"/>
    <x v="4"/>
    <x v="1"/>
    <x v="8"/>
    <s v="Cleaning Services Ltd"/>
    <n v="1553.73"/>
    <n v="1600"/>
  </r>
  <r>
    <x v="120"/>
    <x v="50"/>
    <x v="4"/>
    <x v="0"/>
    <x v="8"/>
    <s v="Wellington Office Park"/>
    <n v="1727.08"/>
    <n v="1600"/>
  </r>
  <r>
    <x v="121"/>
    <x v="35"/>
    <x v="4"/>
    <x v="0"/>
    <x v="8"/>
    <s v="Auckland CBD Landlord"/>
    <n v="1854.74"/>
    <n v="1600"/>
  </r>
  <r>
    <x v="122"/>
    <x v="49"/>
    <x v="4"/>
    <x v="1"/>
    <x v="8"/>
    <s v="Auckland CBD Landlord"/>
    <n v="1379.71"/>
    <n v="1600"/>
  </r>
  <r>
    <x v="123"/>
    <x v="28"/>
    <x v="4"/>
    <x v="0"/>
    <x v="8"/>
    <s v="CBRE Property"/>
    <n v="1236.97"/>
    <n v="1600"/>
  </r>
  <r>
    <x v="124"/>
    <x v="32"/>
    <x v="4"/>
    <x v="1"/>
    <x v="5"/>
    <s v="PWC NZ"/>
    <n v="1670.3"/>
    <n v="1400"/>
  </r>
  <r>
    <x v="125"/>
    <x v="37"/>
    <x v="4"/>
    <x v="1"/>
    <x v="5"/>
    <s v="PWC NZ"/>
    <n v="1396.06"/>
    <n v="1400"/>
  </r>
  <r>
    <x v="126"/>
    <x v="45"/>
    <x v="4"/>
    <x v="0"/>
    <x v="5"/>
    <s v="Deloitte NZ"/>
    <n v="1674.86"/>
    <n v="1400"/>
  </r>
  <r>
    <x v="127"/>
    <x v="26"/>
    <x v="4"/>
    <x v="1"/>
    <x v="5"/>
    <s v="Recruitment Partners"/>
    <n v="1203.19"/>
    <n v="1400"/>
  </r>
  <r>
    <x v="128"/>
    <x v="37"/>
    <x v="4"/>
    <x v="1"/>
    <x v="5"/>
    <s v="Deloitte NZ"/>
    <n v="1085.1500000000001"/>
    <n v="1400"/>
  </r>
  <r>
    <x v="129"/>
    <x v="34"/>
    <x v="4"/>
    <x v="0"/>
    <x v="3"/>
    <s v="Adobe"/>
    <n v="414.25"/>
    <n v="360"/>
  </r>
  <r>
    <x v="130"/>
    <x v="46"/>
    <x v="4"/>
    <x v="1"/>
    <x v="3"/>
    <s v="Adobe"/>
    <n v="441.01"/>
    <n v="360"/>
  </r>
  <r>
    <x v="131"/>
    <x v="38"/>
    <x v="4"/>
    <x v="1"/>
    <x v="3"/>
    <s v="Zoom"/>
    <n v="419.5"/>
    <n v="360"/>
  </r>
  <r>
    <x v="132"/>
    <x v="28"/>
    <x v="4"/>
    <x v="0"/>
    <x v="3"/>
    <s v="Zoom"/>
    <n v="403.86"/>
    <n v="360"/>
  </r>
  <r>
    <x v="133"/>
    <x v="39"/>
    <x v="4"/>
    <x v="1"/>
    <x v="3"/>
    <s v="Atlassian"/>
    <n v="405.32"/>
    <n v="360"/>
  </r>
  <r>
    <x v="134"/>
    <x v="51"/>
    <x v="0"/>
    <x v="1"/>
    <x v="0"/>
    <s v="Meridian Energy"/>
    <n v="41451.379999999997"/>
    <n v="45000"/>
  </r>
  <r>
    <x v="135"/>
    <x v="52"/>
    <x v="0"/>
    <x v="1"/>
    <x v="0"/>
    <s v="Meridian Energy"/>
    <n v="42145.41"/>
    <n v="45000"/>
  </r>
  <r>
    <x v="136"/>
    <x v="53"/>
    <x v="0"/>
    <x v="0"/>
    <x v="0"/>
    <s v="Air NZ"/>
    <n v="44524.88"/>
    <n v="45000"/>
  </r>
  <r>
    <x v="137"/>
    <x v="51"/>
    <x v="0"/>
    <x v="0"/>
    <x v="0"/>
    <s v="Contact Energy"/>
    <n v="43410.09"/>
    <n v="45000"/>
  </r>
  <r>
    <x v="138"/>
    <x v="54"/>
    <x v="0"/>
    <x v="0"/>
    <x v="1"/>
    <s v="Payroll - Commissions"/>
    <n v="10498.01"/>
    <n v="9000"/>
  </r>
  <r>
    <x v="139"/>
    <x v="55"/>
    <x v="0"/>
    <x v="1"/>
    <x v="1"/>
    <s v="Payroll - Commissions"/>
    <n v="8461.7099999999991"/>
    <n v="9000"/>
  </r>
  <r>
    <x v="140"/>
    <x v="56"/>
    <x v="0"/>
    <x v="2"/>
    <x v="2"/>
    <s v="Hertz Rental"/>
    <n v="1176.72"/>
    <n v="1000"/>
  </r>
  <r>
    <x v="141"/>
    <x v="57"/>
    <x v="0"/>
    <x v="1"/>
    <x v="2"/>
    <s v="Ibis Hotels"/>
    <n v="1123.76"/>
    <n v="1000"/>
  </r>
  <r>
    <x v="142"/>
    <x v="58"/>
    <x v="0"/>
    <x v="0"/>
    <x v="2"/>
    <s v="Hertz Rental"/>
    <n v="994.11"/>
    <n v="1000"/>
  </r>
  <r>
    <x v="143"/>
    <x v="52"/>
    <x v="0"/>
    <x v="2"/>
    <x v="2"/>
    <s v="Hertz Rental"/>
    <n v="764.51"/>
    <n v="1000"/>
  </r>
  <r>
    <x v="144"/>
    <x v="59"/>
    <x v="0"/>
    <x v="2"/>
    <x v="3"/>
    <s v="Adobe"/>
    <n v="1008.14"/>
    <n v="833.33"/>
  </r>
  <r>
    <x v="145"/>
    <x v="60"/>
    <x v="0"/>
    <x v="0"/>
    <x v="3"/>
    <s v="Adobe"/>
    <n v="1002.89"/>
    <n v="833.33"/>
  </r>
  <r>
    <x v="146"/>
    <x v="61"/>
    <x v="0"/>
    <x v="1"/>
    <x v="3"/>
    <s v="Zoom"/>
    <n v="636.29"/>
    <n v="833.33"/>
  </r>
  <r>
    <x v="147"/>
    <x v="58"/>
    <x v="1"/>
    <x v="2"/>
    <x v="4"/>
    <s v="NZ Herald Media"/>
    <n v="9810.09"/>
    <n v="11666.67"/>
  </r>
  <r>
    <x v="148"/>
    <x v="52"/>
    <x v="1"/>
    <x v="2"/>
    <x v="4"/>
    <s v="LinkedIn Ads"/>
    <n v="9984.68"/>
    <n v="11666.67"/>
  </r>
  <r>
    <x v="149"/>
    <x v="56"/>
    <x v="1"/>
    <x v="2"/>
    <x v="4"/>
    <s v="NZ Herald Media"/>
    <n v="10373.16"/>
    <n v="11666.67"/>
  </r>
  <r>
    <x v="150"/>
    <x v="62"/>
    <x v="1"/>
    <x v="0"/>
    <x v="3"/>
    <s v="Adobe"/>
    <n v="738.87"/>
    <n v="750"/>
  </r>
  <r>
    <x v="151"/>
    <x v="63"/>
    <x v="1"/>
    <x v="0"/>
    <x v="3"/>
    <s v="Salesforce"/>
    <n v="937.47"/>
    <n v="750"/>
  </r>
  <r>
    <x v="152"/>
    <x v="61"/>
    <x v="1"/>
    <x v="1"/>
    <x v="3"/>
    <s v="Microsoft 365"/>
    <n v="588.23"/>
    <n v="750"/>
  </r>
  <r>
    <x v="153"/>
    <x v="64"/>
    <x v="1"/>
    <x v="0"/>
    <x v="3"/>
    <s v="HubSpot"/>
    <n v="918.6"/>
    <n v="750"/>
  </r>
  <r>
    <x v="154"/>
    <x v="53"/>
    <x v="1"/>
    <x v="1"/>
    <x v="2"/>
    <s v="Hertz Rental"/>
    <n v="1032.74"/>
    <n v="1250"/>
  </r>
  <r>
    <x v="155"/>
    <x v="64"/>
    <x v="1"/>
    <x v="1"/>
    <x v="2"/>
    <s v="Hertz Rental"/>
    <n v="1008.99"/>
    <n v="1250"/>
  </r>
  <r>
    <x v="156"/>
    <x v="59"/>
    <x v="1"/>
    <x v="2"/>
    <x v="5"/>
    <s v="Deloitte NZ"/>
    <n v="1250.8399999999999"/>
    <n v="1500"/>
  </r>
  <r>
    <x v="157"/>
    <x v="65"/>
    <x v="1"/>
    <x v="0"/>
    <x v="5"/>
    <s v="Recruitment Partners"/>
    <n v="1848.54"/>
    <n v="1500"/>
  </r>
  <r>
    <x v="158"/>
    <x v="60"/>
    <x v="1"/>
    <x v="0"/>
    <x v="5"/>
    <s v="Legal Counsel Ltd"/>
    <n v="1821.67"/>
    <n v="1500"/>
  </r>
  <r>
    <x v="159"/>
    <x v="64"/>
    <x v="1"/>
    <x v="2"/>
    <x v="5"/>
    <s v="Deloitte NZ"/>
    <n v="1831.1"/>
    <n v="1500"/>
  </r>
  <r>
    <x v="160"/>
    <x v="66"/>
    <x v="2"/>
    <x v="0"/>
    <x v="6"/>
    <s v="Payroll - Salaries"/>
    <n v="34788.89"/>
    <n v="31666.67"/>
  </r>
  <r>
    <x v="161"/>
    <x v="63"/>
    <x v="2"/>
    <x v="1"/>
    <x v="6"/>
    <s v="Payroll - Salaries"/>
    <n v="36141.730000000003"/>
    <n v="31666.67"/>
  </r>
  <r>
    <x v="162"/>
    <x v="67"/>
    <x v="2"/>
    <x v="1"/>
    <x v="6"/>
    <s v="Payroll - Salaries"/>
    <n v="29617.37"/>
    <n v="31666.67"/>
  </r>
  <r>
    <x v="163"/>
    <x v="65"/>
    <x v="2"/>
    <x v="2"/>
    <x v="3"/>
    <s v="Zoom"/>
    <n v="2612.62"/>
    <n v="2250"/>
  </r>
  <r>
    <x v="164"/>
    <x v="56"/>
    <x v="2"/>
    <x v="2"/>
    <x v="3"/>
    <s v="Zoom"/>
    <n v="2402.5300000000002"/>
    <n v="2250"/>
  </r>
  <r>
    <x v="165"/>
    <x v="67"/>
    <x v="2"/>
    <x v="2"/>
    <x v="7"/>
    <s v="Google Cloud"/>
    <n v="3352.27"/>
    <n v="4000"/>
  </r>
  <r>
    <x v="166"/>
    <x v="57"/>
    <x v="2"/>
    <x v="2"/>
    <x v="7"/>
    <s v="Azure"/>
    <n v="4231.82"/>
    <n v="4000"/>
  </r>
  <r>
    <x v="167"/>
    <x v="62"/>
    <x v="2"/>
    <x v="2"/>
    <x v="7"/>
    <s v="Google Cloud"/>
    <n v="3871.15"/>
    <n v="4000"/>
  </r>
  <r>
    <x v="168"/>
    <x v="56"/>
    <x v="2"/>
    <x v="2"/>
    <x v="5"/>
    <s v="Deloitte NZ"/>
    <n v="1469.82"/>
    <n v="1250"/>
  </r>
  <r>
    <x v="169"/>
    <x v="68"/>
    <x v="2"/>
    <x v="2"/>
    <x v="5"/>
    <s v="Legal Counsel Ltd"/>
    <n v="1488.52"/>
    <n v="1250"/>
  </r>
  <r>
    <x v="170"/>
    <x v="54"/>
    <x v="2"/>
    <x v="1"/>
    <x v="5"/>
    <s v="KPMG NZ"/>
    <n v="1318.96"/>
    <n v="1250"/>
  </r>
  <r>
    <x v="171"/>
    <x v="52"/>
    <x v="2"/>
    <x v="0"/>
    <x v="5"/>
    <s v="PWC NZ"/>
    <n v="1246.44"/>
    <n v="1250"/>
  </r>
  <r>
    <x v="172"/>
    <x v="58"/>
    <x v="3"/>
    <x v="0"/>
    <x v="6"/>
    <s v="Payroll - Salaries"/>
    <n v="7790.26"/>
    <n v="8400"/>
  </r>
  <r>
    <x v="173"/>
    <x v="69"/>
    <x v="3"/>
    <x v="2"/>
    <x v="6"/>
    <s v="Payroll - Salaries"/>
    <n v="9997.34"/>
    <n v="8400"/>
  </r>
  <r>
    <x v="174"/>
    <x v="64"/>
    <x v="3"/>
    <x v="1"/>
    <x v="6"/>
    <s v="Payroll - Salaries"/>
    <n v="6342.63"/>
    <n v="8400"/>
  </r>
  <r>
    <x v="175"/>
    <x v="70"/>
    <x v="3"/>
    <x v="0"/>
    <x v="6"/>
    <s v="Payroll - Salaries"/>
    <n v="9324.31"/>
    <n v="8400"/>
  </r>
  <r>
    <x v="176"/>
    <x v="69"/>
    <x v="3"/>
    <x v="1"/>
    <x v="6"/>
    <s v="Payroll - Salaries"/>
    <n v="8299.59"/>
    <n v="8400"/>
  </r>
  <r>
    <x v="177"/>
    <x v="68"/>
    <x v="3"/>
    <x v="0"/>
    <x v="8"/>
    <s v="Cleaning Services Ltd"/>
    <n v="2389.58"/>
    <n v="3000"/>
  </r>
  <r>
    <x v="178"/>
    <x v="71"/>
    <x v="3"/>
    <x v="1"/>
    <x v="8"/>
    <s v="Wellington Office Park"/>
    <n v="2614.96"/>
    <n v="3000"/>
  </r>
  <r>
    <x v="179"/>
    <x v="63"/>
    <x v="3"/>
    <x v="2"/>
    <x v="8"/>
    <s v="Cleaning Services Ltd"/>
    <n v="3080.21"/>
    <n v="3000"/>
  </r>
  <r>
    <x v="180"/>
    <x v="63"/>
    <x v="3"/>
    <x v="1"/>
    <x v="8"/>
    <s v="Cleaning Services Ltd"/>
    <n v="3075.58"/>
    <n v="3000"/>
  </r>
  <r>
    <x v="181"/>
    <x v="68"/>
    <x v="3"/>
    <x v="2"/>
    <x v="8"/>
    <s v="CBRE Property"/>
    <n v="2709.93"/>
    <n v="3000"/>
  </r>
  <r>
    <x v="182"/>
    <x v="57"/>
    <x v="3"/>
    <x v="2"/>
    <x v="3"/>
    <s v="HubSpot"/>
    <n v="539.85"/>
    <n v="666.67"/>
  </r>
  <r>
    <x v="183"/>
    <x v="64"/>
    <x v="3"/>
    <x v="1"/>
    <x v="3"/>
    <s v="Atlassian"/>
    <n v="561.72"/>
    <n v="666.67"/>
  </r>
  <r>
    <x v="184"/>
    <x v="60"/>
    <x v="3"/>
    <x v="2"/>
    <x v="3"/>
    <s v="HubSpot"/>
    <n v="592.16999999999996"/>
    <n v="666.67"/>
  </r>
  <r>
    <x v="185"/>
    <x v="66"/>
    <x v="3"/>
    <x v="0"/>
    <x v="5"/>
    <s v="PWC NZ"/>
    <n v="1020.52"/>
    <n v="875"/>
  </r>
  <r>
    <x v="186"/>
    <x v="55"/>
    <x v="3"/>
    <x v="2"/>
    <x v="5"/>
    <s v="Recruitment Partners"/>
    <n v="734.76"/>
    <n v="875"/>
  </r>
  <r>
    <x v="187"/>
    <x v="72"/>
    <x v="3"/>
    <x v="0"/>
    <x v="5"/>
    <s v="Recruitment Partners"/>
    <n v="776.26"/>
    <n v="875"/>
  </r>
  <r>
    <x v="188"/>
    <x v="53"/>
    <x v="3"/>
    <x v="2"/>
    <x v="5"/>
    <s v="Legal Counsel Ltd"/>
    <n v="961.37"/>
    <n v="875"/>
  </r>
  <r>
    <x v="189"/>
    <x v="70"/>
    <x v="4"/>
    <x v="0"/>
    <x v="6"/>
    <s v="Payroll - Salaries"/>
    <n v="19703.61"/>
    <n v="19000"/>
  </r>
  <r>
    <x v="190"/>
    <x v="72"/>
    <x v="4"/>
    <x v="1"/>
    <x v="6"/>
    <s v="Payroll - Salaries"/>
    <n v="17486.71"/>
    <n v="19000"/>
  </r>
  <r>
    <x v="191"/>
    <x v="54"/>
    <x v="4"/>
    <x v="0"/>
    <x v="8"/>
    <s v="Cleaning Services Ltd"/>
    <n v="1857.69"/>
    <n v="1600"/>
  </r>
  <r>
    <x v="192"/>
    <x v="71"/>
    <x v="4"/>
    <x v="0"/>
    <x v="8"/>
    <s v="CBRE Property"/>
    <n v="1661.62"/>
    <n v="1600"/>
  </r>
  <r>
    <x v="193"/>
    <x v="60"/>
    <x v="4"/>
    <x v="0"/>
    <x v="8"/>
    <s v="Wellington Office Park"/>
    <n v="1319.36"/>
    <n v="1600"/>
  </r>
  <r>
    <x v="194"/>
    <x v="65"/>
    <x v="4"/>
    <x v="0"/>
    <x v="8"/>
    <s v="Cleaning Services Ltd"/>
    <n v="1995.13"/>
    <n v="1600"/>
  </r>
  <r>
    <x v="195"/>
    <x v="54"/>
    <x v="4"/>
    <x v="0"/>
    <x v="8"/>
    <s v="Cleaning Services Ltd"/>
    <n v="1820.55"/>
    <n v="1600"/>
  </r>
  <r>
    <x v="196"/>
    <x v="73"/>
    <x v="4"/>
    <x v="1"/>
    <x v="5"/>
    <s v="KPMG NZ"/>
    <n v="1652.12"/>
    <n v="1400"/>
  </r>
  <r>
    <x v="197"/>
    <x v="62"/>
    <x v="4"/>
    <x v="0"/>
    <x v="5"/>
    <s v="Deloitte NZ"/>
    <n v="1476.74"/>
    <n v="1400"/>
  </r>
  <r>
    <x v="198"/>
    <x v="58"/>
    <x v="4"/>
    <x v="0"/>
    <x v="5"/>
    <s v="Deloitte NZ"/>
    <n v="1487.86"/>
    <n v="1400"/>
  </r>
  <r>
    <x v="199"/>
    <x v="57"/>
    <x v="4"/>
    <x v="0"/>
    <x v="5"/>
    <s v="Deloitte NZ"/>
    <n v="1217.9100000000001"/>
    <n v="1400"/>
  </r>
  <r>
    <x v="200"/>
    <x v="51"/>
    <x v="4"/>
    <x v="0"/>
    <x v="5"/>
    <s v="Recruitment Partners"/>
    <n v="1051.8699999999999"/>
    <n v="1400"/>
  </r>
  <r>
    <x v="201"/>
    <x v="66"/>
    <x v="4"/>
    <x v="1"/>
    <x v="3"/>
    <s v="Atlassian"/>
    <n v="275.88"/>
    <n v="360"/>
  </r>
  <r>
    <x v="202"/>
    <x v="51"/>
    <x v="4"/>
    <x v="1"/>
    <x v="3"/>
    <s v="Microsoft 365"/>
    <n v="396.54"/>
    <n v="360"/>
  </r>
  <r>
    <x v="203"/>
    <x v="74"/>
    <x v="4"/>
    <x v="0"/>
    <x v="3"/>
    <s v="HubSpot"/>
    <n v="436.3"/>
    <n v="360"/>
  </r>
  <r>
    <x v="204"/>
    <x v="57"/>
    <x v="4"/>
    <x v="0"/>
    <x v="3"/>
    <s v="Salesforce"/>
    <n v="346.53"/>
    <n v="360"/>
  </r>
  <r>
    <x v="205"/>
    <x v="56"/>
    <x v="4"/>
    <x v="0"/>
    <x v="3"/>
    <s v="Salesforce"/>
    <n v="433.51"/>
    <n v="360"/>
  </r>
  <r>
    <x v="206"/>
    <x v="75"/>
    <x v="0"/>
    <x v="0"/>
    <x v="0"/>
    <s v="Fisher &amp; Paykel"/>
    <n v="90342.53"/>
    <n v="90000"/>
  </r>
  <r>
    <x v="207"/>
    <x v="76"/>
    <x v="0"/>
    <x v="2"/>
    <x v="0"/>
    <s v="Contact Energy"/>
    <n v="107490.51"/>
    <n v="90000"/>
  </r>
  <r>
    <x v="208"/>
    <x v="77"/>
    <x v="0"/>
    <x v="1"/>
    <x v="1"/>
    <s v="Payroll - Commissions"/>
    <n v="4589.96"/>
    <n v="4500"/>
  </r>
  <r>
    <x v="209"/>
    <x v="78"/>
    <x v="0"/>
    <x v="1"/>
    <x v="1"/>
    <s v="Payroll - Commissions"/>
    <n v="3464.69"/>
    <n v="4500"/>
  </r>
  <r>
    <x v="210"/>
    <x v="79"/>
    <x v="0"/>
    <x v="1"/>
    <x v="1"/>
    <s v="Payroll - Commissions"/>
    <n v="3938.33"/>
    <n v="4500"/>
  </r>
  <r>
    <x v="211"/>
    <x v="80"/>
    <x v="0"/>
    <x v="1"/>
    <x v="1"/>
    <s v="Payroll - Commissions"/>
    <n v="5255.91"/>
    <n v="4500"/>
  </r>
  <r>
    <x v="212"/>
    <x v="81"/>
    <x v="0"/>
    <x v="1"/>
    <x v="2"/>
    <s v="Qantas"/>
    <n v="770.12"/>
    <n v="1000"/>
  </r>
  <r>
    <x v="213"/>
    <x v="77"/>
    <x v="0"/>
    <x v="2"/>
    <x v="2"/>
    <s v="Uber"/>
    <n v="1009.48"/>
    <n v="1000"/>
  </r>
  <r>
    <x v="214"/>
    <x v="78"/>
    <x v="0"/>
    <x v="0"/>
    <x v="2"/>
    <s v="Hertz Rental"/>
    <n v="1248.47"/>
    <n v="1000"/>
  </r>
  <r>
    <x v="215"/>
    <x v="78"/>
    <x v="0"/>
    <x v="0"/>
    <x v="2"/>
    <s v="Uber"/>
    <n v="985.01"/>
    <n v="1000"/>
  </r>
  <r>
    <x v="216"/>
    <x v="82"/>
    <x v="0"/>
    <x v="1"/>
    <x v="3"/>
    <s v="Slack"/>
    <n v="501.44"/>
    <n v="625"/>
  </r>
  <r>
    <x v="217"/>
    <x v="83"/>
    <x v="0"/>
    <x v="2"/>
    <x v="3"/>
    <s v="Atlassian"/>
    <n v="685.52"/>
    <n v="625"/>
  </r>
  <r>
    <x v="218"/>
    <x v="84"/>
    <x v="0"/>
    <x v="2"/>
    <x v="3"/>
    <s v="Microsoft 365"/>
    <n v="722.99"/>
    <n v="625"/>
  </r>
  <r>
    <x v="219"/>
    <x v="85"/>
    <x v="0"/>
    <x v="2"/>
    <x v="3"/>
    <s v="Slack"/>
    <n v="496.27"/>
    <n v="625"/>
  </r>
  <r>
    <x v="220"/>
    <x v="86"/>
    <x v="1"/>
    <x v="2"/>
    <x v="4"/>
    <s v="Meta Ads"/>
    <n v="20692.97"/>
    <n v="17500"/>
  </r>
  <r>
    <x v="221"/>
    <x v="77"/>
    <x v="1"/>
    <x v="1"/>
    <x v="4"/>
    <s v="NZ Herald Media"/>
    <n v="20731.97"/>
    <n v="17500"/>
  </r>
  <r>
    <x v="222"/>
    <x v="87"/>
    <x v="1"/>
    <x v="0"/>
    <x v="3"/>
    <s v="HubSpot"/>
    <n v="1513.83"/>
    <n v="1500"/>
  </r>
  <r>
    <x v="223"/>
    <x v="81"/>
    <x v="1"/>
    <x v="2"/>
    <x v="3"/>
    <s v="Microsoft 365"/>
    <n v="1594.06"/>
    <n v="1500"/>
  </r>
  <r>
    <x v="224"/>
    <x v="83"/>
    <x v="1"/>
    <x v="2"/>
    <x v="2"/>
    <s v="Hertz Rental"/>
    <n v="853.84"/>
    <n v="833.33"/>
  </r>
  <r>
    <x v="225"/>
    <x v="88"/>
    <x v="1"/>
    <x v="1"/>
    <x v="2"/>
    <s v="Ibis Hotels"/>
    <n v="826.96"/>
    <n v="833.33"/>
  </r>
  <r>
    <x v="226"/>
    <x v="83"/>
    <x v="1"/>
    <x v="0"/>
    <x v="2"/>
    <s v="Ibis Hotels"/>
    <n v="920.74"/>
    <n v="833.33"/>
  </r>
  <r>
    <x v="227"/>
    <x v="89"/>
    <x v="1"/>
    <x v="1"/>
    <x v="5"/>
    <s v="Deloitte NZ"/>
    <n v="2861.99"/>
    <n v="3000"/>
  </r>
  <r>
    <x v="228"/>
    <x v="90"/>
    <x v="1"/>
    <x v="2"/>
    <x v="5"/>
    <s v="PWC NZ"/>
    <n v="3670.59"/>
    <n v="3000"/>
  </r>
  <r>
    <x v="229"/>
    <x v="76"/>
    <x v="2"/>
    <x v="1"/>
    <x v="6"/>
    <s v="Payroll - Salaries"/>
    <n v="17022.68"/>
    <n v="19000"/>
  </r>
  <r>
    <x v="230"/>
    <x v="91"/>
    <x v="2"/>
    <x v="2"/>
    <x v="6"/>
    <s v="Payroll - Salaries"/>
    <n v="22179.88"/>
    <n v="19000"/>
  </r>
  <r>
    <x v="231"/>
    <x v="92"/>
    <x v="2"/>
    <x v="2"/>
    <x v="6"/>
    <s v="Payroll - Salaries"/>
    <n v="19487.02"/>
    <n v="19000"/>
  </r>
  <r>
    <x v="232"/>
    <x v="93"/>
    <x v="2"/>
    <x v="1"/>
    <x v="6"/>
    <s v="Payroll - Salaries"/>
    <n v="19078.29"/>
    <n v="19000"/>
  </r>
  <r>
    <x v="233"/>
    <x v="94"/>
    <x v="2"/>
    <x v="2"/>
    <x v="6"/>
    <s v="Payroll - Salaries"/>
    <n v="21590.41"/>
    <n v="19000"/>
  </r>
  <r>
    <x v="234"/>
    <x v="88"/>
    <x v="2"/>
    <x v="1"/>
    <x v="3"/>
    <s v="Slack"/>
    <n v="994.03"/>
    <n v="1125"/>
  </r>
  <r>
    <x v="235"/>
    <x v="80"/>
    <x v="2"/>
    <x v="1"/>
    <x v="3"/>
    <s v="Adobe"/>
    <n v="1011.69"/>
    <n v="1125"/>
  </r>
  <r>
    <x v="236"/>
    <x v="93"/>
    <x v="2"/>
    <x v="1"/>
    <x v="3"/>
    <s v="Zoom"/>
    <n v="1119.17"/>
    <n v="1125"/>
  </r>
  <r>
    <x v="237"/>
    <x v="95"/>
    <x v="2"/>
    <x v="1"/>
    <x v="3"/>
    <s v="Adobe"/>
    <n v="1116.19"/>
    <n v="1125"/>
  </r>
  <r>
    <x v="238"/>
    <x v="94"/>
    <x v="2"/>
    <x v="2"/>
    <x v="7"/>
    <s v="AWS"/>
    <n v="2919.42"/>
    <n v="2400"/>
  </r>
  <r>
    <x v="239"/>
    <x v="92"/>
    <x v="2"/>
    <x v="1"/>
    <x v="7"/>
    <s v="AWS"/>
    <n v="2086.5700000000002"/>
    <n v="2400"/>
  </r>
  <r>
    <x v="240"/>
    <x v="75"/>
    <x v="2"/>
    <x v="2"/>
    <x v="7"/>
    <s v="Azure"/>
    <n v="1852.38"/>
    <n v="2400"/>
  </r>
  <r>
    <x v="241"/>
    <x v="92"/>
    <x v="2"/>
    <x v="1"/>
    <x v="7"/>
    <s v="Azure"/>
    <n v="2896.12"/>
    <n v="2400"/>
  </r>
  <r>
    <x v="242"/>
    <x v="90"/>
    <x v="2"/>
    <x v="1"/>
    <x v="7"/>
    <s v="AWS"/>
    <n v="2750.87"/>
    <n v="2400"/>
  </r>
  <r>
    <x v="243"/>
    <x v="80"/>
    <x v="2"/>
    <x v="0"/>
    <x v="5"/>
    <s v="KPMG NZ"/>
    <n v="813.12"/>
    <n v="1000"/>
  </r>
  <r>
    <x v="244"/>
    <x v="77"/>
    <x v="2"/>
    <x v="0"/>
    <x v="5"/>
    <s v="Deloitte NZ"/>
    <n v="1187.0999999999999"/>
    <n v="1000"/>
  </r>
  <r>
    <x v="245"/>
    <x v="88"/>
    <x v="2"/>
    <x v="1"/>
    <x v="5"/>
    <s v="PWC NZ"/>
    <n v="1205.22"/>
    <n v="1000"/>
  </r>
  <r>
    <x v="246"/>
    <x v="93"/>
    <x v="2"/>
    <x v="2"/>
    <x v="5"/>
    <s v="Deloitte NZ"/>
    <n v="1185.47"/>
    <n v="1000"/>
  </r>
  <r>
    <x v="247"/>
    <x v="85"/>
    <x v="2"/>
    <x v="2"/>
    <x v="5"/>
    <s v="KPMG NZ"/>
    <n v="1140.76"/>
    <n v="1000"/>
  </r>
  <r>
    <x v="248"/>
    <x v="95"/>
    <x v="3"/>
    <x v="1"/>
    <x v="6"/>
    <s v="Payroll - Salaries"/>
    <n v="6637.32"/>
    <n v="8400"/>
  </r>
  <r>
    <x v="249"/>
    <x v="81"/>
    <x v="3"/>
    <x v="2"/>
    <x v="6"/>
    <s v="Payroll - Salaries"/>
    <n v="8932.56"/>
    <n v="8400"/>
  </r>
  <r>
    <x v="250"/>
    <x v="79"/>
    <x v="3"/>
    <x v="1"/>
    <x v="6"/>
    <s v="Payroll - Salaries"/>
    <n v="6450.78"/>
    <n v="8400"/>
  </r>
  <r>
    <x v="251"/>
    <x v="83"/>
    <x v="3"/>
    <x v="1"/>
    <x v="6"/>
    <s v="Payroll - Salaries"/>
    <n v="9174.48"/>
    <n v="8400"/>
  </r>
  <r>
    <x v="252"/>
    <x v="96"/>
    <x v="3"/>
    <x v="1"/>
    <x v="6"/>
    <s v="Payroll - Salaries"/>
    <n v="6679.59"/>
    <n v="8400"/>
  </r>
  <r>
    <x v="253"/>
    <x v="88"/>
    <x v="3"/>
    <x v="0"/>
    <x v="8"/>
    <s v="CBRE Property"/>
    <n v="3291"/>
    <n v="3000"/>
  </r>
  <r>
    <x v="254"/>
    <x v="83"/>
    <x v="3"/>
    <x v="2"/>
    <x v="8"/>
    <s v="Wellington Office Park"/>
    <n v="3444.22"/>
    <n v="3000"/>
  </r>
  <r>
    <x v="255"/>
    <x v="89"/>
    <x v="3"/>
    <x v="2"/>
    <x v="8"/>
    <s v="Cleaning Services Ltd"/>
    <n v="2896.03"/>
    <n v="3000"/>
  </r>
  <r>
    <x v="256"/>
    <x v="82"/>
    <x v="3"/>
    <x v="1"/>
    <x v="8"/>
    <s v="Auckland CBD Landlord"/>
    <n v="3272.7"/>
    <n v="3000"/>
  </r>
  <r>
    <x v="257"/>
    <x v="94"/>
    <x v="3"/>
    <x v="0"/>
    <x v="8"/>
    <s v="Cleaning Services Ltd"/>
    <n v="2368.4499999999998"/>
    <n v="3000"/>
  </r>
  <r>
    <x v="258"/>
    <x v="93"/>
    <x v="3"/>
    <x v="2"/>
    <x v="3"/>
    <s v="Salesforce"/>
    <n v="804.28"/>
    <n v="666.67"/>
  </r>
  <r>
    <x v="259"/>
    <x v="77"/>
    <x v="3"/>
    <x v="2"/>
    <x v="3"/>
    <s v="Slack"/>
    <n v="712.63"/>
    <n v="666.67"/>
  </r>
  <r>
    <x v="260"/>
    <x v="97"/>
    <x v="3"/>
    <x v="1"/>
    <x v="3"/>
    <s v="Zoom"/>
    <n v="503.13"/>
    <n v="666.67"/>
  </r>
  <r>
    <x v="261"/>
    <x v="79"/>
    <x v="3"/>
    <x v="1"/>
    <x v="5"/>
    <s v="Legal Counsel Ltd"/>
    <n v="895.39"/>
    <n v="875"/>
  </r>
  <r>
    <x v="262"/>
    <x v="83"/>
    <x v="3"/>
    <x v="2"/>
    <x v="5"/>
    <s v="Legal Counsel Ltd"/>
    <n v="1088.3499999999999"/>
    <n v="875"/>
  </r>
  <r>
    <x v="263"/>
    <x v="94"/>
    <x v="3"/>
    <x v="1"/>
    <x v="5"/>
    <s v="KPMG NZ"/>
    <n v="765.67"/>
    <n v="875"/>
  </r>
  <r>
    <x v="264"/>
    <x v="94"/>
    <x v="3"/>
    <x v="0"/>
    <x v="5"/>
    <s v="Legal Counsel Ltd"/>
    <n v="1093.48"/>
    <n v="875"/>
  </r>
  <r>
    <x v="265"/>
    <x v="98"/>
    <x v="4"/>
    <x v="0"/>
    <x v="6"/>
    <s v="Payroll - Salaries"/>
    <n v="17872.96"/>
    <n v="19000"/>
  </r>
  <r>
    <x v="266"/>
    <x v="86"/>
    <x v="4"/>
    <x v="1"/>
    <x v="6"/>
    <s v="Payroll - Salaries"/>
    <n v="14458.43"/>
    <n v="19000"/>
  </r>
  <r>
    <x v="267"/>
    <x v="99"/>
    <x v="4"/>
    <x v="0"/>
    <x v="8"/>
    <s v="CBRE Property"/>
    <n v="2065.9299999999998"/>
    <n v="2000"/>
  </r>
  <r>
    <x v="268"/>
    <x v="83"/>
    <x v="4"/>
    <x v="1"/>
    <x v="8"/>
    <s v="Auckland CBD Landlord"/>
    <n v="2332.84"/>
    <n v="2000"/>
  </r>
  <r>
    <x v="269"/>
    <x v="100"/>
    <x v="4"/>
    <x v="1"/>
    <x v="8"/>
    <s v="Wellington Office Park"/>
    <n v="1719"/>
    <n v="2000"/>
  </r>
  <r>
    <x v="270"/>
    <x v="90"/>
    <x v="4"/>
    <x v="0"/>
    <x v="8"/>
    <s v="CBRE Property"/>
    <n v="2128.25"/>
    <n v="2000"/>
  </r>
  <r>
    <x v="271"/>
    <x v="98"/>
    <x v="4"/>
    <x v="1"/>
    <x v="5"/>
    <s v="PWC NZ"/>
    <n v="1341.69"/>
    <n v="1750"/>
  </r>
  <r>
    <x v="272"/>
    <x v="95"/>
    <x v="4"/>
    <x v="0"/>
    <x v="5"/>
    <s v="Legal Counsel Ltd"/>
    <n v="2108.42"/>
    <n v="1750"/>
  </r>
  <r>
    <x v="273"/>
    <x v="97"/>
    <x v="4"/>
    <x v="0"/>
    <x v="5"/>
    <s v="Recruitment Partners"/>
    <n v="1488.2"/>
    <n v="1750"/>
  </r>
  <r>
    <x v="274"/>
    <x v="85"/>
    <x v="4"/>
    <x v="1"/>
    <x v="5"/>
    <s v="PWC NZ"/>
    <n v="1777"/>
    <n v="1750"/>
  </r>
  <r>
    <x v="275"/>
    <x v="83"/>
    <x v="4"/>
    <x v="1"/>
    <x v="3"/>
    <s v="Atlassian"/>
    <n v="555.16"/>
    <n v="450"/>
  </r>
  <r>
    <x v="276"/>
    <x v="77"/>
    <x v="4"/>
    <x v="1"/>
    <x v="3"/>
    <s v="Microsoft 365"/>
    <n v="518.45000000000005"/>
    <n v="450"/>
  </r>
  <r>
    <x v="277"/>
    <x v="89"/>
    <x v="4"/>
    <x v="0"/>
    <x v="3"/>
    <s v="HubSpot"/>
    <n v="507.18"/>
    <n v="450"/>
  </r>
  <r>
    <x v="278"/>
    <x v="97"/>
    <x v="4"/>
    <x v="1"/>
    <x v="3"/>
    <s v="Adobe"/>
    <n v="555.14"/>
    <n v="450"/>
  </r>
  <r>
    <x v="279"/>
    <x v="101"/>
    <x v="0"/>
    <x v="0"/>
    <x v="0"/>
    <s v="Meridian Energy"/>
    <n v="40491.33"/>
    <n v="45000"/>
  </r>
  <r>
    <x v="280"/>
    <x v="102"/>
    <x v="0"/>
    <x v="2"/>
    <x v="0"/>
    <s v="Contact Energy"/>
    <n v="57857.9"/>
    <n v="45000"/>
  </r>
  <r>
    <x v="281"/>
    <x v="103"/>
    <x v="0"/>
    <x v="1"/>
    <x v="0"/>
    <s v="Mainfreight"/>
    <n v="42722.18"/>
    <n v="45000"/>
  </r>
  <r>
    <x v="282"/>
    <x v="104"/>
    <x v="0"/>
    <x v="0"/>
    <x v="0"/>
    <s v="Air NZ"/>
    <n v="62444.87"/>
    <n v="45000"/>
  </r>
  <r>
    <x v="283"/>
    <x v="105"/>
    <x v="0"/>
    <x v="1"/>
    <x v="1"/>
    <s v="Payroll - Commissions"/>
    <n v="10457.35"/>
    <n v="9000"/>
  </r>
  <r>
    <x v="284"/>
    <x v="106"/>
    <x v="0"/>
    <x v="1"/>
    <x v="1"/>
    <s v="Payroll - Commissions"/>
    <n v="8587.33"/>
    <n v="9000"/>
  </r>
  <r>
    <x v="285"/>
    <x v="107"/>
    <x v="0"/>
    <x v="2"/>
    <x v="2"/>
    <s v="Air New Zealand"/>
    <n v="2495.9299999999998"/>
    <n v="2000"/>
  </r>
  <r>
    <x v="286"/>
    <x v="106"/>
    <x v="0"/>
    <x v="0"/>
    <x v="2"/>
    <s v="Hertz Rental"/>
    <n v="2387.2600000000002"/>
    <n v="2000"/>
  </r>
  <r>
    <x v="287"/>
    <x v="108"/>
    <x v="0"/>
    <x v="2"/>
    <x v="3"/>
    <s v="Atlassian"/>
    <n v="542.62"/>
    <n v="500"/>
  </r>
  <r>
    <x v="288"/>
    <x v="108"/>
    <x v="0"/>
    <x v="1"/>
    <x v="3"/>
    <s v="Atlassian"/>
    <n v="479.78"/>
    <n v="500"/>
  </r>
  <r>
    <x v="289"/>
    <x v="109"/>
    <x v="0"/>
    <x v="0"/>
    <x v="3"/>
    <s v="Microsoft 365"/>
    <n v="596.35"/>
    <n v="500"/>
  </r>
  <r>
    <x v="290"/>
    <x v="102"/>
    <x v="0"/>
    <x v="2"/>
    <x v="3"/>
    <s v="Microsoft 365"/>
    <n v="528.91"/>
    <n v="500"/>
  </r>
  <r>
    <x v="291"/>
    <x v="110"/>
    <x v="0"/>
    <x v="1"/>
    <x v="3"/>
    <s v="Zoom"/>
    <n v="467.63"/>
    <n v="500"/>
  </r>
  <r>
    <x v="292"/>
    <x v="111"/>
    <x v="1"/>
    <x v="2"/>
    <x v="4"/>
    <s v="LinkedIn Ads"/>
    <n v="9329.57"/>
    <n v="11666.67"/>
  </r>
  <r>
    <x v="293"/>
    <x v="109"/>
    <x v="1"/>
    <x v="1"/>
    <x v="4"/>
    <s v="LinkedIn Ads"/>
    <n v="14009.89"/>
    <n v="11666.67"/>
  </r>
  <r>
    <x v="294"/>
    <x v="112"/>
    <x v="1"/>
    <x v="0"/>
    <x v="4"/>
    <s v="Meta Ads"/>
    <n v="11072.48"/>
    <n v="11666.67"/>
  </r>
  <r>
    <x v="295"/>
    <x v="109"/>
    <x v="1"/>
    <x v="0"/>
    <x v="3"/>
    <s v="Atlassian"/>
    <n v="648.83000000000004"/>
    <n v="600"/>
  </r>
  <r>
    <x v="296"/>
    <x v="113"/>
    <x v="1"/>
    <x v="1"/>
    <x v="3"/>
    <s v="HubSpot"/>
    <n v="741.33"/>
    <n v="600"/>
  </r>
  <r>
    <x v="297"/>
    <x v="106"/>
    <x v="1"/>
    <x v="2"/>
    <x v="3"/>
    <s v="HubSpot"/>
    <n v="523.07000000000005"/>
    <n v="600"/>
  </r>
  <r>
    <x v="298"/>
    <x v="114"/>
    <x v="1"/>
    <x v="1"/>
    <x v="3"/>
    <s v="HubSpot"/>
    <n v="511.56"/>
    <n v="600"/>
  </r>
  <r>
    <x v="299"/>
    <x v="112"/>
    <x v="1"/>
    <x v="1"/>
    <x v="3"/>
    <s v="HubSpot"/>
    <n v="512.15"/>
    <n v="600"/>
  </r>
  <r>
    <x v="300"/>
    <x v="115"/>
    <x v="1"/>
    <x v="2"/>
    <x v="2"/>
    <s v="Ibis Hotels"/>
    <n v="947.65"/>
    <n v="833.33"/>
  </r>
  <r>
    <x v="301"/>
    <x v="106"/>
    <x v="1"/>
    <x v="0"/>
    <x v="2"/>
    <s v="Qantas"/>
    <n v="740.53"/>
    <n v="833.33"/>
  </r>
  <r>
    <x v="302"/>
    <x v="116"/>
    <x v="1"/>
    <x v="1"/>
    <x v="2"/>
    <s v="Air New Zealand"/>
    <n v="729.44"/>
    <n v="833.33"/>
  </r>
  <r>
    <x v="303"/>
    <x v="115"/>
    <x v="1"/>
    <x v="0"/>
    <x v="5"/>
    <s v="PWC NZ"/>
    <n v="2272.29"/>
    <n v="3000"/>
  </r>
  <r>
    <x v="304"/>
    <x v="116"/>
    <x v="1"/>
    <x v="1"/>
    <x v="5"/>
    <s v="KPMG NZ"/>
    <n v="2735.66"/>
    <n v="3000"/>
  </r>
  <r>
    <x v="305"/>
    <x v="117"/>
    <x v="2"/>
    <x v="0"/>
    <x v="6"/>
    <s v="Payroll - Salaries"/>
    <n v="53240.800000000003"/>
    <n v="47500"/>
  </r>
  <r>
    <x v="306"/>
    <x v="110"/>
    <x v="2"/>
    <x v="1"/>
    <x v="6"/>
    <s v="Payroll - Salaries"/>
    <n v="37134.5"/>
    <n v="47500"/>
  </r>
  <r>
    <x v="307"/>
    <x v="118"/>
    <x v="2"/>
    <x v="2"/>
    <x v="3"/>
    <s v="Microsoft 365"/>
    <n v="2254.3200000000002"/>
    <n v="2250"/>
  </r>
  <r>
    <x v="308"/>
    <x v="119"/>
    <x v="2"/>
    <x v="1"/>
    <x v="3"/>
    <s v="Atlassian"/>
    <n v="2568.63"/>
    <n v="2250"/>
  </r>
  <r>
    <x v="309"/>
    <x v="120"/>
    <x v="2"/>
    <x v="2"/>
    <x v="7"/>
    <s v="AWS"/>
    <n v="3215.01"/>
    <n v="3000"/>
  </r>
  <r>
    <x v="310"/>
    <x v="121"/>
    <x v="2"/>
    <x v="2"/>
    <x v="7"/>
    <s v="Google Cloud"/>
    <n v="3520.95"/>
    <n v="3000"/>
  </r>
  <r>
    <x v="311"/>
    <x v="110"/>
    <x v="2"/>
    <x v="0"/>
    <x v="7"/>
    <s v="AWS"/>
    <n v="2985.4"/>
    <n v="3000"/>
  </r>
  <r>
    <x v="312"/>
    <x v="106"/>
    <x v="2"/>
    <x v="0"/>
    <x v="7"/>
    <s v="AWS"/>
    <n v="2733.17"/>
    <n v="3000"/>
  </r>
  <r>
    <x v="313"/>
    <x v="122"/>
    <x v="2"/>
    <x v="2"/>
    <x v="5"/>
    <s v="Recruitment Partners"/>
    <n v="1770.26"/>
    <n v="1666.67"/>
  </r>
  <r>
    <x v="314"/>
    <x v="118"/>
    <x v="2"/>
    <x v="1"/>
    <x v="5"/>
    <s v="Recruitment Partners"/>
    <n v="1520.99"/>
    <n v="1666.67"/>
  </r>
  <r>
    <x v="315"/>
    <x v="118"/>
    <x v="2"/>
    <x v="2"/>
    <x v="5"/>
    <s v="Legal Counsel Ltd"/>
    <n v="1628.1"/>
    <n v="1666.67"/>
  </r>
  <r>
    <x v="316"/>
    <x v="109"/>
    <x v="3"/>
    <x v="1"/>
    <x v="6"/>
    <s v="Payroll - Salaries"/>
    <n v="16951.349999999999"/>
    <n v="21000"/>
  </r>
  <r>
    <x v="317"/>
    <x v="103"/>
    <x v="3"/>
    <x v="2"/>
    <x v="6"/>
    <s v="Payroll - Salaries"/>
    <n v="20491.330000000002"/>
    <n v="21000"/>
  </r>
  <r>
    <x v="318"/>
    <x v="108"/>
    <x v="3"/>
    <x v="2"/>
    <x v="8"/>
    <s v="CBRE Property"/>
    <n v="3560.12"/>
    <n v="3750"/>
  </r>
  <r>
    <x v="319"/>
    <x v="111"/>
    <x v="3"/>
    <x v="2"/>
    <x v="8"/>
    <s v="Wellington Office Park"/>
    <n v="3612.68"/>
    <n v="3750"/>
  </r>
  <r>
    <x v="320"/>
    <x v="111"/>
    <x v="3"/>
    <x v="2"/>
    <x v="8"/>
    <s v="Cleaning Services Ltd"/>
    <n v="4600.49"/>
    <n v="3750"/>
  </r>
  <r>
    <x v="321"/>
    <x v="123"/>
    <x v="3"/>
    <x v="0"/>
    <x v="8"/>
    <s v="CBRE Property"/>
    <n v="2983.55"/>
    <n v="3750"/>
  </r>
  <r>
    <x v="322"/>
    <x v="124"/>
    <x v="3"/>
    <x v="0"/>
    <x v="3"/>
    <s v="HubSpot"/>
    <n v="448.92"/>
    <n v="400"/>
  </r>
  <r>
    <x v="323"/>
    <x v="122"/>
    <x v="3"/>
    <x v="0"/>
    <x v="3"/>
    <s v="Adobe"/>
    <n v="411.27"/>
    <n v="400"/>
  </r>
  <r>
    <x v="324"/>
    <x v="107"/>
    <x v="3"/>
    <x v="1"/>
    <x v="3"/>
    <s v="Zoom"/>
    <n v="365.93"/>
    <n v="400"/>
  </r>
  <r>
    <x v="325"/>
    <x v="125"/>
    <x v="3"/>
    <x v="2"/>
    <x v="3"/>
    <s v="Zoom"/>
    <n v="474.72"/>
    <n v="400"/>
  </r>
  <r>
    <x v="326"/>
    <x v="126"/>
    <x v="3"/>
    <x v="1"/>
    <x v="3"/>
    <s v="Adobe"/>
    <n v="310.29000000000002"/>
    <n v="400"/>
  </r>
  <r>
    <x v="327"/>
    <x v="117"/>
    <x v="3"/>
    <x v="2"/>
    <x v="5"/>
    <s v="PWC NZ"/>
    <n v="701.58"/>
    <n v="875"/>
  </r>
  <r>
    <x v="328"/>
    <x v="103"/>
    <x v="3"/>
    <x v="0"/>
    <x v="5"/>
    <s v="Deloitte NZ"/>
    <n v="943.57"/>
    <n v="875"/>
  </r>
  <r>
    <x v="329"/>
    <x v="124"/>
    <x v="3"/>
    <x v="2"/>
    <x v="5"/>
    <s v="Deloitte NZ"/>
    <n v="1026.0999999999999"/>
    <n v="875"/>
  </r>
  <r>
    <x v="330"/>
    <x v="115"/>
    <x v="3"/>
    <x v="2"/>
    <x v="5"/>
    <s v="Legal Counsel Ltd"/>
    <n v="907.42"/>
    <n v="875"/>
  </r>
  <r>
    <x v="331"/>
    <x v="102"/>
    <x v="4"/>
    <x v="1"/>
    <x v="6"/>
    <s v="Payroll - Salaries"/>
    <n v="14525.06"/>
    <n v="19000"/>
  </r>
  <r>
    <x v="332"/>
    <x v="116"/>
    <x v="4"/>
    <x v="1"/>
    <x v="6"/>
    <s v="Payroll - Salaries"/>
    <n v="17584.72"/>
    <n v="19000"/>
  </r>
  <r>
    <x v="333"/>
    <x v="109"/>
    <x v="4"/>
    <x v="0"/>
    <x v="8"/>
    <s v="CBRE Property"/>
    <n v="1313.5"/>
    <n v="1600"/>
  </r>
  <r>
    <x v="334"/>
    <x v="112"/>
    <x v="4"/>
    <x v="0"/>
    <x v="8"/>
    <s v="Cleaning Services Ltd"/>
    <n v="1796.89"/>
    <n v="1600"/>
  </r>
  <r>
    <x v="335"/>
    <x v="116"/>
    <x v="4"/>
    <x v="1"/>
    <x v="8"/>
    <s v="Wellington Office Park"/>
    <n v="1562.92"/>
    <n v="1600"/>
  </r>
  <r>
    <x v="336"/>
    <x v="125"/>
    <x v="4"/>
    <x v="1"/>
    <x v="8"/>
    <s v="CBRE Property"/>
    <n v="1777.28"/>
    <n v="1600"/>
  </r>
  <r>
    <x v="337"/>
    <x v="125"/>
    <x v="4"/>
    <x v="0"/>
    <x v="8"/>
    <s v="CBRE Property"/>
    <n v="1324.46"/>
    <n v="1600"/>
  </r>
  <r>
    <x v="338"/>
    <x v="121"/>
    <x v="4"/>
    <x v="1"/>
    <x v="5"/>
    <s v="Legal Counsel Ltd"/>
    <n v="3400.45"/>
    <n v="3500"/>
  </r>
  <r>
    <x v="339"/>
    <x v="112"/>
    <x v="4"/>
    <x v="1"/>
    <x v="5"/>
    <s v="Recruitment Partners"/>
    <n v="3349.82"/>
    <n v="3500"/>
  </r>
  <r>
    <x v="340"/>
    <x v="126"/>
    <x v="4"/>
    <x v="1"/>
    <x v="3"/>
    <s v="Atlassian"/>
    <n v="868.46"/>
    <n v="900"/>
  </r>
  <r>
    <x v="341"/>
    <x v="126"/>
    <x v="4"/>
    <x v="1"/>
    <x v="3"/>
    <s v="Microsoft 365"/>
    <n v="912.12"/>
    <n v="900"/>
  </r>
  <r>
    <x v="342"/>
    <x v="127"/>
    <x v="0"/>
    <x v="2"/>
    <x v="0"/>
    <s v="Fisher &amp; Paykel"/>
    <n v="57907.8"/>
    <n v="60000"/>
  </r>
  <r>
    <x v="343"/>
    <x v="128"/>
    <x v="0"/>
    <x v="0"/>
    <x v="0"/>
    <s v="Xero Ltd"/>
    <n v="81317.31"/>
    <n v="60000"/>
  </r>
  <r>
    <x v="344"/>
    <x v="129"/>
    <x v="0"/>
    <x v="0"/>
    <x v="0"/>
    <s v="Spark NZ"/>
    <n v="80751.47"/>
    <n v="60000"/>
  </r>
  <r>
    <x v="345"/>
    <x v="130"/>
    <x v="0"/>
    <x v="1"/>
    <x v="1"/>
    <s v="Payroll - Commissions"/>
    <n v="3966.61"/>
    <n v="3600"/>
  </r>
  <r>
    <x v="346"/>
    <x v="131"/>
    <x v="0"/>
    <x v="0"/>
    <x v="1"/>
    <s v="Payroll - Commissions"/>
    <n v="3414.73"/>
    <n v="3600"/>
  </r>
  <r>
    <x v="347"/>
    <x v="132"/>
    <x v="0"/>
    <x v="2"/>
    <x v="1"/>
    <s v="Payroll - Commissions"/>
    <n v="2733.73"/>
    <n v="3600"/>
  </r>
  <r>
    <x v="348"/>
    <x v="133"/>
    <x v="0"/>
    <x v="1"/>
    <x v="1"/>
    <s v="Payroll - Commissions"/>
    <n v="3472.71"/>
    <n v="3600"/>
  </r>
  <r>
    <x v="349"/>
    <x v="134"/>
    <x v="0"/>
    <x v="2"/>
    <x v="1"/>
    <s v="Payroll - Commissions"/>
    <n v="2907.31"/>
    <n v="3600"/>
  </r>
  <r>
    <x v="350"/>
    <x v="135"/>
    <x v="0"/>
    <x v="1"/>
    <x v="2"/>
    <s v="Uber"/>
    <n v="1306.73"/>
    <n v="1333.33"/>
  </r>
  <r>
    <x v="351"/>
    <x v="136"/>
    <x v="0"/>
    <x v="0"/>
    <x v="2"/>
    <s v="Qantas"/>
    <n v="1291.1400000000001"/>
    <n v="1333.33"/>
  </r>
  <r>
    <x v="352"/>
    <x v="130"/>
    <x v="0"/>
    <x v="2"/>
    <x v="2"/>
    <s v="Air New Zealand"/>
    <n v="1392.58"/>
    <n v="1333.33"/>
  </r>
  <r>
    <x v="353"/>
    <x v="137"/>
    <x v="0"/>
    <x v="2"/>
    <x v="3"/>
    <s v="Slack"/>
    <n v="561.45000000000005"/>
    <n v="500"/>
  </r>
  <r>
    <x v="354"/>
    <x v="138"/>
    <x v="0"/>
    <x v="0"/>
    <x v="3"/>
    <s v="Microsoft 365"/>
    <n v="394.09"/>
    <n v="500"/>
  </r>
  <r>
    <x v="355"/>
    <x v="139"/>
    <x v="0"/>
    <x v="1"/>
    <x v="3"/>
    <s v="Slack"/>
    <n v="502.49"/>
    <n v="500"/>
  </r>
  <r>
    <x v="356"/>
    <x v="140"/>
    <x v="0"/>
    <x v="2"/>
    <x v="3"/>
    <s v="Atlassian"/>
    <n v="556.84"/>
    <n v="500"/>
  </r>
  <r>
    <x v="357"/>
    <x v="141"/>
    <x v="0"/>
    <x v="0"/>
    <x v="3"/>
    <s v="Slack"/>
    <n v="434.07"/>
    <n v="500"/>
  </r>
  <r>
    <x v="358"/>
    <x v="139"/>
    <x v="1"/>
    <x v="0"/>
    <x v="4"/>
    <s v="Event Sponsorship Co"/>
    <n v="12263.99"/>
    <n v="11666.67"/>
  </r>
  <r>
    <x v="359"/>
    <x v="139"/>
    <x v="1"/>
    <x v="0"/>
    <x v="4"/>
    <s v="Event Sponsorship Co"/>
    <n v="9783.35"/>
    <n v="11666.67"/>
  </r>
  <r>
    <x v="360"/>
    <x v="142"/>
    <x v="1"/>
    <x v="2"/>
    <x v="4"/>
    <s v="TVNZ"/>
    <n v="11456.39"/>
    <n v="11666.67"/>
  </r>
  <r>
    <x v="361"/>
    <x v="142"/>
    <x v="1"/>
    <x v="1"/>
    <x v="3"/>
    <s v="Atlassian"/>
    <n v="727.25"/>
    <n v="600"/>
  </r>
  <r>
    <x v="362"/>
    <x v="143"/>
    <x v="1"/>
    <x v="1"/>
    <x v="3"/>
    <s v="HubSpot"/>
    <n v="745.96"/>
    <n v="600"/>
  </r>
  <r>
    <x v="363"/>
    <x v="144"/>
    <x v="1"/>
    <x v="1"/>
    <x v="3"/>
    <s v="Microsoft 365"/>
    <n v="544.84"/>
    <n v="600"/>
  </r>
  <r>
    <x v="364"/>
    <x v="128"/>
    <x v="1"/>
    <x v="2"/>
    <x v="3"/>
    <s v="HubSpot"/>
    <n v="582.66"/>
    <n v="600"/>
  </r>
  <r>
    <x v="365"/>
    <x v="145"/>
    <x v="1"/>
    <x v="2"/>
    <x v="3"/>
    <s v="Adobe"/>
    <n v="627.42999999999995"/>
    <n v="600"/>
  </r>
  <r>
    <x v="366"/>
    <x v="146"/>
    <x v="1"/>
    <x v="2"/>
    <x v="2"/>
    <s v="Air New Zealand"/>
    <n v="1226.0899999999999"/>
    <n v="1250"/>
  </r>
  <r>
    <x v="367"/>
    <x v="132"/>
    <x v="1"/>
    <x v="2"/>
    <x v="2"/>
    <s v="Air New Zealand"/>
    <n v="1457.31"/>
    <n v="1250"/>
  </r>
  <r>
    <x v="368"/>
    <x v="147"/>
    <x v="1"/>
    <x v="2"/>
    <x v="5"/>
    <s v="Deloitte NZ"/>
    <n v="1248.2"/>
    <n v="1200"/>
  </r>
  <r>
    <x v="369"/>
    <x v="142"/>
    <x v="1"/>
    <x v="2"/>
    <x v="5"/>
    <s v="PWC NZ"/>
    <n v="1445.43"/>
    <n v="1200"/>
  </r>
  <r>
    <x v="370"/>
    <x v="130"/>
    <x v="1"/>
    <x v="2"/>
    <x v="5"/>
    <s v="PWC NZ"/>
    <n v="1263"/>
    <n v="1200"/>
  </r>
  <r>
    <x v="371"/>
    <x v="147"/>
    <x v="1"/>
    <x v="0"/>
    <x v="5"/>
    <s v="KPMG NZ"/>
    <n v="1170.31"/>
    <n v="1200"/>
  </r>
  <r>
    <x v="372"/>
    <x v="138"/>
    <x v="1"/>
    <x v="1"/>
    <x v="5"/>
    <s v="PWC NZ"/>
    <n v="950.6"/>
    <n v="1200"/>
  </r>
  <r>
    <x v="373"/>
    <x v="144"/>
    <x v="2"/>
    <x v="0"/>
    <x v="6"/>
    <s v="Payroll - Salaries"/>
    <n v="52431.02"/>
    <n v="47500"/>
  </r>
  <r>
    <x v="374"/>
    <x v="128"/>
    <x v="2"/>
    <x v="2"/>
    <x v="6"/>
    <s v="Payroll - Salaries"/>
    <n v="44480.23"/>
    <n v="47500"/>
  </r>
  <r>
    <x v="375"/>
    <x v="146"/>
    <x v="2"/>
    <x v="2"/>
    <x v="3"/>
    <s v="HubSpot"/>
    <n v="980.5"/>
    <n v="900"/>
  </r>
  <r>
    <x v="376"/>
    <x v="132"/>
    <x v="2"/>
    <x v="1"/>
    <x v="3"/>
    <s v="Slack"/>
    <n v="966.29"/>
    <n v="900"/>
  </r>
  <r>
    <x v="377"/>
    <x v="133"/>
    <x v="2"/>
    <x v="0"/>
    <x v="3"/>
    <s v="Slack"/>
    <n v="926.08"/>
    <n v="900"/>
  </r>
  <r>
    <x v="378"/>
    <x v="148"/>
    <x v="2"/>
    <x v="2"/>
    <x v="3"/>
    <s v="Adobe"/>
    <n v="1000.68"/>
    <n v="900"/>
  </r>
  <r>
    <x v="379"/>
    <x v="142"/>
    <x v="2"/>
    <x v="0"/>
    <x v="3"/>
    <s v="Atlassian"/>
    <n v="825.01"/>
    <n v="900"/>
  </r>
  <r>
    <x v="380"/>
    <x v="138"/>
    <x v="2"/>
    <x v="2"/>
    <x v="7"/>
    <s v="Google Cloud"/>
    <n v="3620.46"/>
    <n v="4000"/>
  </r>
  <r>
    <x v="381"/>
    <x v="149"/>
    <x v="2"/>
    <x v="1"/>
    <x v="7"/>
    <s v="Google Cloud"/>
    <n v="3783.92"/>
    <n v="4000"/>
  </r>
  <r>
    <x v="382"/>
    <x v="133"/>
    <x v="2"/>
    <x v="0"/>
    <x v="7"/>
    <s v="Google Cloud"/>
    <n v="3619.16"/>
    <n v="4000"/>
  </r>
  <r>
    <x v="383"/>
    <x v="140"/>
    <x v="2"/>
    <x v="0"/>
    <x v="5"/>
    <s v="Recruitment Partners"/>
    <n v="1356.32"/>
    <n v="1250"/>
  </r>
  <r>
    <x v="384"/>
    <x v="150"/>
    <x v="2"/>
    <x v="0"/>
    <x v="5"/>
    <s v="Recruitment Partners"/>
    <n v="1341.27"/>
    <n v="1250"/>
  </r>
  <r>
    <x v="385"/>
    <x v="128"/>
    <x v="2"/>
    <x v="2"/>
    <x v="5"/>
    <s v="PWC NZ"/>
    <n v="948.89"/>
    <n v="1250"/>
  </r>
  <r>
    <x v="386"/>
    <x v="139"/>
    <x v="2"/>
    <x v="0"/>
    <x v="5"/>
    <s v="Legal Counsel Ltd"/>
    <n v="1151.08"/>
    <n v="1250"/>
  </r>
  <r>
    <x v="387"/>
    <x v="141"/>
    <x v="3"/>
    <x v="0"/>
    <x v="6"/>
    <s v="Payroll - Salaries"/>
    <n v="17499.84"/>
    <n v="14000"/>
  </r>
  <r>
    <x v="388"/>
    <x v="136"/>
    <x v="3"/>
    <x v="2"/>
    <x v="6"/>
    <s v="Payroll - Salaries"/>
    <n v="16411"/>
    <n v="14000"/>
  </r>
  <r>
    <x v="389"/>
    <x v="139"/>
    <x v="3"/>
    <x v="1"/>
    <x v="6"/>
    <s v="Payroll - Salaries"/>
    <n v="12857.35"/>
    <n v="14000"/>
  </r>
  <r>
    <x v="390"/>
    <x v="140"/>
    <x v="3"/>
    <x v="0"/>
    <x v="8"/>
    <s v="Auckland CBD Landlord"/>
    <n v="2493.37"/>
    <n v="3000"/>
  </r>
  <r>
    <x v="391"/>
    <x v="150"/>
    <x v="3"/>
    <x v="1"/>
    <x v="8"/>
    <s v="Wellington Office Park"/>
    <n v="2906.51"/>
    <n v="3000"/>
  </r>
  <r>
    <x v="392"/>
    <x v="144"/>
    <x v="3"/>
    <x v="1"/>
    <x v="8"/>
    <s v="Wellington Office Park"/>
    <n v="3329.38"/>
    <n v="3000"/>
  </r>
  <r>
    <x v="393"/>
    <x v="137"/>
    <x v="3"/>
    <x v="1"/>
    <x v="8"/>
    <s v="Auckland CBD Landlord"/>
    <n v="3425.7"/>
    <n v="3000"/>
  </r>
  <r>
    <x v="394"/>
    <x v="147"/>
    <x v="3"/>
    <x v="2"/>
    <x v="8"/>
    <s v="Cleaning Services Ltd"/>
    <n v="3698.39"/>
    <n v="3000"/>
  </r>
  <r>
    <x v="395"/>
    <x v="142"/>
    <x v="3"/>
    <x v="2"/>
    <x v="3"/>
    <s v="Zoom"/>
    <n v="726.1"/>
    <n v="666.67"/>
  </r>
  <r>
    <x v="396"/>
    <x v="139"/>
    <x v="3"/>
    <x v="2"/>
    <x v="3"/>
    <s v="Zoom"/>
    <n v="756.48"/>
    <n v="666.67"/>
  </r>
  <r>
    <x v="397"/>
    <x v="129"/>
    <x v="3"/>
    <x v="1"/>
    <x v="3"/>
    <s v="HubSpot"/>
    <n v="675.82"/>
    <n v="666.67"/>
  </r>
  <r>
    <x v="398"/>
    <x v="151"/>
    <x v="3"/>
    <x v="1"/>
    <x v="5"/>
    <s v="Deloitte NZ"/>
    <n v="955.73"/>
    <n v="1166.67"/>
  </r>
  <r>
    <x v="399"/>
    <x v="145"/>
    <x v="3"/>
    <x v="1"/>
    <x v="5"/>
    <s v="Recruitment Partners"/>
    <n v="1155.3399999999999"/>
    <n v="1166.67"/>
  </r>
  <r>
    <x v="400"/>
    <x v="130"/>
    <x v="3"/>
    <x v="0"/>
    <x v="5"/>
    <s v="Deloitte NZ"/>
    <n v="1289.98"/>
    <n v="1166.67"/>
  </r>
  <r>
    <x v="401"/>
    <x v="151"/>
    <x v="4"/>
    <x v="0"/>
    <x v="6"/>
    <s v="Payroll - Salaries"/>
    <n v="10749.8"/>
    <n v="9500"/>
  </r>
  <r>
    <x v="402"/>
    <x v="132"/>
    <x v="4"/>
    <x v="0"/>
    <x v="6"/>
    <s v="Payroll - Salaries"/>
    <n v="11072.47"/>
    <n v="9500"/>
  </r>
  <r>
    <x v="403"/>
    <x v="134"/>
    <x v="4"/>
    <x v="1"/>
    <x v="6"/>
    <s v="Payroll - Salaries"/>
    <n v="11326.99"/>
    <n v="9500"/>
  </r>
  <r>
    <x v="404"/>
    <x v="145"/>
    <x v="4"/>
    <x v="0"/>
    <x v="6"/>
    <s v="Payroll - Salaries"/>
    <n v="9008.16"/>
    <n v="9500"/>
  </r>
  <r>
    <x v="405"/>
    <x v="134"/>
    <x v="4"/>
    <x v="0"/>
    <x v="8"/>
    <s v="Wellington Office Park"/>
    <n v="1499.93"/>
    <n v="1600"/>
  </r>
  <r>
    <x v="406"/>
    <x v="138"/>
    <x v="4"/>
    <x v="0"/>
    <x v="8"/>
    <s v="Wellington Office Park"/>
    <n v="1871.34"/>
    <n v="1600"/>
  </r>
  <r>
    <x v="407"/>
    <x v="128"/>
    <x v="4"/>
    <x v="0"/>
    <x v="8"/>
    <s v="Cleaning Services Ltd"/>
    <n v="1310.08"/>
    <n v="1600"/>
  </r>
  <r>
    <x v="408"/>
    <x v="152"/>
    <x v="4"/>
    <x v="0"/>
    <x v="8"/>
    <s v="Cleaning Services Ltd"/>
    <n v="1807.07"/>
    <n v="1600"/>
  </r>
  <r>
    <x v="409"/>
    <x v="134"/>
    <x v="4"/>
    <x v="0"/>
    <x v="8"/>
    <s v="Wellington Office Park"/>
    <n v="1924.69"/>
    <n v="1600"/>
  </r>
  <r>
    <x v="410"/>
    <x v="131"/>
    <x v="4"/>
    <x v="0"/>
    <x v="5"/>
    <s v="Recruitment Partners"/>
    <n v="2390.27"/>
    <n v="2333.33"/>
  </r>
  <r>
    <x v="411"/>
    <x v="128"/>
    <x v="4"/>
    <x v="1"/>
    <x v="5"/>
    <s v="PWC NZ"/>
    <n v="1879.72"/>
    <n v="2333.33"/>
  </r>
  <r>
    <x v="412"/>
    <x v="137"/>
    <x v="4"/>
    <x v="1"/>
    <x v="5"/>
    <s v="Legal Counsel Ltd"/>
    <n v="1892.16"/>
    <n v="2333.33"/>
  </r>
  <r>
    <x v="413"/>
    <x v="152"/>
    <x v="4"/>
    <x v="0"/>
    <x v="3"/>
    <s v="Adobe"/>
    <n v="289.95"/>
    <n v="360"/>
  </r>
  <r>
    <x v="414"/>
    <x v="142"/>
    <x v="4"/>
    <x v="0"/>
    <x v="3"/>
    <s v="Salesforce"/>
    <n v="383.75"/>
    <n v="360"/>
  </r>
  <r>
    <x v="415"/>
    <x v="134"/>
    <x v="4"/>
    <x v="0"/>
    <x v="3"/>
    <s v="Adobe"/>
    <n v="322.43"/>
    <n v="360"/>
  </r>
  <r>
    <x v="416"/>
    <x v="150"/>
    <x v="4"/>
    <x v="1"/>
    <x v="3"/>
    <s v="Salesforce"/>
    <n v="313.3"/>
    <n v="360"/>
  </r>
  <r>
    <x v="417"/>
    <x v="145"/>
    <x v="4"/>
    <x v="0"/>
    <x v="3"/>
    <s v="Microsoft 365"/>
    <n v="364.23"/>
    <n v="360"/>
  </r>
  <r>
    <x v="418"/>
    <x v="153"/>
    <x v="0"/>
    <x v="2"/>
    <x v="0"/>
    <s v="Xero Ltd"/>
    <n v="70613.14"/>
    <n v="90000"/>
  </r>
  <r>
    <x v="419"/>
    <x v="154"/>
    <x v="0"/>
    <x v="2"/>
    <x v="0"/>
    <s v="Xero Ltd"/>
    <n v="83312.3"/>
    <n v="90000"/>
  </r>
  <r>
    <x v="420"/>
    <x v="155"/>
    <x v="0"/>
    <x v="1"/>
    <x v="1"/>
    <s v="Payroll - Commissions"/>
    <n v="6471.31"/>
    <n v="6000"/>
  </r>
  <r>
    <x v="421"/>
    <x v="156"/>
    <x v="0"/>
    <x v="0"/>
    <x v="1"/>
    <s v="Payroll - Commissions"/>
    <n v="4633.01"/>
    <n v="6000"/>
  </r>
  <r>
    <x v="422"/>
    <x v="157"/>
    <x v="0"/>
    <x v="1"/>
    <x v="1"/>
    <s v="Payroll - Commissions"/>
    <n v="5025.2700000000004"/>
    <n v="6000"/>
  </r>
  <r>
    <x v="423"/>
    <x v="158"/>
    <x v="0"/>
    <x v="1"/>
    <x v="2"/>
    <s v="Air New Zealand"/>
    <n v="672.91"/>
    <n v="800"/>
  </r>
  <r>
    <x v="424"/>
    <x v="159"/>
    <x v="0"/>
    <x v="1"/>
    <x v="2"/>
    <s v="Air New Zealand"/>
    <n v="910.48"/>
    <n v="800"/>
  </r>
  <r>
    <x v="425"/>
    <x v="160"/>
    <x v="0"/>
    <x v="2"/>
    <x v="2"/>
    <s v="Qantas"/>
    <n v="680.64"/>
    <n v="800"/>
  </r>
  <r>
    <x v="426"/>
    <x v="161"/>
    <x v="0"/>
    <x v="0"/>
    <x v="2"/>
    <s v="Ibis Hotels"/>
    <n v="726.24"/>
    <n v="800"/>
  </r>
  <r>
    <x v="427"/>
    <x v="156"/>
    <x v="0"/>
    <x v="2"/>
    <x v="2"/>
    <s v="Hertz Rental"/>
    <n v="995.65"/>
    <n v="800"/>
  </r>
  <r>
    <x v="428"/>
    <x v="162"/>
    <x v="0"/>
    <x v="0"/>
    <x v="3"/>
    <s v="Slack"/>
    <n v="704.15"/>
    <n v="625"/>
  </r>
  <r>
    <x v="429"/>
    <x v="163"/>
    <x v="0"/>
    <x v="2"/>
    <x v="3"/>
    <s v="HubSpot"/>
    <n v="738.17"/>
    <n v="625"/>
  </r>
  <r>
    <x v="430"/>
    <x v="155"/>
    <x v="0"/>
    <x v="1"/>
    <x v="3"/>
    <s v="HubSpot"/>
    <n v="572.48"/>
    <n v="625"/>
  </r>
  <r>
    <x v="431"/>
    <x v="153"/>
    <x v="0"/>
    <x v="2"/>
    <x v="3"/>
    <s v="Atlassian"/>
    <n v="605.29999999999995"/>
    <n v="625"/>
  </r>
  <r>
    <x v="432"/>
    <x v="164"/>
    <x v="1"/>
    <x v="2"/>
    <x v="4"/>
    <s v="NZ Herald Media"/>
    <n v="6436.63"/>
    <n v="7000"/>
  </r>
  <r>
    <x v="433"/>
    <x v="160"/>
    <x v="1"/>
    <x v="1"/>
    <x v="4"/>
    <s v="TVNZ"/>
    <n v="6991.33"/>
    <n v="7000"/>
  </r>
  <r>
    <x v="434"/>
    <x v="165"/>
    <x v="1"/>
    <x v="2"/>
    <x v="4"/>
    <s v="NZ Herald Media"/>
    <n v="8054.02"/>
    <n v="7000"/>
  </r>
  <r>
    <x v="435"/>
    <x v="166"/>
    <x v="1"/>
    <x v="0"/>
    <x v="4"/>
    <s v="Google Ads"/>
    <n v="6757.13"/>
    <n v="7000"/>
  </r>
  <r>
    <x v="436"/>
    <x v="155"/>
    <x v="1"/>
    <x v="1"/>
    <x v="4"/>
    <s v="Meta Ads"/>
    <n v="6278.18"/>
    <n v="7000"/>
  </r>
  <r>
    <x v="437"/>
    <x v="159"/>
    <x v="1"/>
    <x v="1"/>
    <x v="3"/>
    <s v="Adobe"/>
    <n v="673.36"/>
    <n v="750"/>
  </r>
  <r>
    <x v="438"/>
    <x v="167"/>
    <x v="1"/>
    <x v="1"/>
    <x v="3"/>
    <s v="Zoom"/>
    <n v="722.29"/>
    <n v="750"/>
  </r>
  <r>
    <x v="439"/>
    <x v="165"/>
    <x v="1"/>
    <x v="2"/>
    <x v="3"/>
    <s v="HubSpot"/>
    <n v="730.17"/>
    <n v="750"/>
  </r>
  <r>
    <x v="440"/>
    <x v="168"/>
    <x v="1"/>
    <x v="2"/>
    <x v="3"/>
    <s v="Slack"/>
    <n v="793.07"/>
    <n v="750"/>
  </r>
  <r>
    <x v="441"/>
    <x v="153"/>
    <x v="1"/>
    <x v="0"/>
    <x v="2"/>
    <s v="Uber"/>
    <n v="1356.99"/>
    <n v="1250"/>
  </r>
  <r>
    <x v="442"/>
    <x v="169"/>
    <x v="1"/>
    <x v="1"/>
    <x v="2"/>
    <s v="Qantas"/>
    <n v="1438.18"/>
    <n v="1250"/>
  </r>
  <r>
    <x v="443"/>
    <x v="169"/>
    <x v="1"/>
    <x v="0"/>
    <x v="5"/>
    <s v="Legal Counsel Ltd"/>
    <n v="3523"/>
    <n v="3000"/>
  </r>
  <r>
    <x v="444"/>
    <x v="170"/>
    <x v="1"/>
    <x v="0"/>
    <x v="5"/>
    <s v="KPMG NZ"/>
    <n v="2439.35"/>
    <n v="3000"/>
  </r>
  <r>
    <x v="445"/>
    <x v="163"/>
    <x v="2"/>
    <x v="2"/>
    <x v="6"/>
    <s v="Payroll - Salaries"/>
    <n v="29087.42"/>
    <n v="23750"/>
  </r>
  <r>
    <x v="446"/>
    <x v="171"/>
    <x v="2"/>
    <x v="1"/>
    <x v="6"/>
    <s v="Payroll - Salaries"/>
    <n v="23155.33"/>
    <n v="23750"/>
  </r>
  <r>
    <x v="447"/>
    <x v="172"/>
    <x v="2"/>
    <x v="2"/>
    <x v="6"/>
    <s v="Payroll - Salaries"/>
    <n v="26874.13"/>
    <n v="23750"/>
  </r>
  <r>
    <x v="448"/>
    <x v="173"/>
    <x v="2"/>
    <x v="1"/>
    <x v="6"/>
    <s v="Payroll - Salaries"/>
    <n v="22170.03"/>
    <n v="23750"/>
  </r>
  <r>
    <x v="449"/>
    <x v="164"/>
    <x v="2"/>
    <x v="0"/>
    <x v="3"/>
    <s v="Zoom"/>
    <n v="1144.44"/>
    <n v="1500"/>
  </r>
  <r>
    <x v="450"/>
    <x v="156"/>
    <x v="2"/>
    <x v="1"/>
    <x v="3"/>
    <s v="Microsoft 365"/>
    <n v="1415.24"/>
    <n v="1500"/>
  </r>
  <r>
    <x v="451"/>
    <x v="167"/>
    <x v="2"/>
    <x v="2"/>
    <x v="3"/>
    <s v="Zoom"/>
    <n v="1706.22"/>
    <n v="1500"/>
  </r>
  <r>
    <x v="452"/>
    <x v="174"/>
    <x v="2"/>
    <x v="1"/>
    <x v="7"/>
    <s v="AWS"/>
    <n v="3571.15"/>
    <n v="4000"/>
  </r>
  <r>
    <x v="453"/>
    <x v="154"/>
    <x v="2"/>
    <x v="0"/>
    <x v="7"/>
    <s v="Azure"/>
    <n v="3271.46"/>
    <n v="4000"/>
  </r>
  <r>
    <x v="454"/>
    <x v="159"/>
    <x v="2"/>
    <x v="0"/>
    <x v="7"/>
    <s v="AWS"/>
    <n v="4797.3599999999997"/>
    <n v="4000"/>
  </r>
  <r>
    <x v="455"/>
    <x v="154"/>
    <x v="2"/>
    <x v="1"/>
    <x v="5"/>
    <s v="Recruitment Partners"/>
    <n v="1154.6400000000001"/>
    <n v="1250"/>
  </r>
  <r>
    <x v="456"/>
    <x v="161"/>
    <x v="2"/>
    <x v="1"/>
    <x v="5"/>
    <s v="PWC NZ"/>
    <n v="1118.98"/>
    <n v="1250"/>
  </r>
  <r>
    <x v="457"/>
    <x v="167"/>
    <x v="2"/>
    <x v="1"/>
    <x v="5"/>
    <s v="PWC NZ"/>
    <n v="1380.98"/>
    <n v="1250"/>
  </r>
  <r>
    <x v="458"/>
    <x v="155"/>
    <x v="2"/>
    <x v="2"/>
    <x v="5"/>
    <s v="PWC NZ"/>
    <n v="1255.47"/>
    <n v="1250"/>
  </r>
  <r>
    <x v="459"/>
    <x v="175"/>
    <x v="3"/>
    <x v="0"/>
    <x v="6"/>
    <s v="Payroll - Salaries"/>
    <n v="16032.61"/>
    <n v="14000"/>
  </r>
  <r>
    <x v="460"/>
    <x v="159"/>
    <x v="3"/>
    <x v="1"/>
    <x v="6"/>
    <s v="Payroll - Salaries"/>
    <n v="14505.94"/>
    <n v="14000"/>
  </r>
  <r>
    <x v="461"/>
    <x v="154"/>
    <x v="3"/>
    <x v="1"/>
    <x v="6"/>
    <s v="Payroll - Salaries"/>
    <n v="16689.73"/>
    <n v="14000"/>
  </r>
  <r>
    <x v="462"/>
    <x v="176"/>
    <x v="3"/>
    <x v="1"/>
    <x v="8"/>
    <s v="Cleaning Services Ltd"/>
    <n v="3328.3"/>
    <n v="3000"/>
  </r>
  <r>
    <x v="463"/>
    <x v="154"/>
    <x v="3"/>
    <x v="2"/>
    <x v="8"/>
    <s v="Auckland CBD Landlord"/>
    <n v="3485.01"/>
    <n v="3000"/>
  </r>
  <r>
    <x v="464"/>
    <x v="159"/>
    <x v="3"/>
    <x v="2"/>
    <x v="8"/>
    <s v="Cleaning Services Ltd"/>
    <n v="3213.51"/>
    <n v="3000"/>
  </r>
  <r>
    <x v="465"/>
    <x v="158"/>
    <x v="3"/>
    <x v="1"/>
    <x v="8"/>
    <s v="Auckland CBD Landlord"/>
    <n v="3026.04"/>
    <n v="3000"/>
  </r>
  <r>
    <x v="466"/>
    <x v="177"/>
    <x v="3"/>
    <x v="0"/>
    <x v="8"/>
    <s v="CBRE Property"/>
    <n v="2898.93"/>
    <n v="3000"/>
  </r>
  <r>
    <x v="467"/>
    <x v="164"/>
    <x v="3"/>
    <x v="1"/>
    <x v="3"/>
    <s v="Salesforce"/>
    <n v="826.51"/>
    <n v="1000"/>
  </r>
  <r>
    <x v="468"/>
    <x v="170"/>
    <x v="3"/>
    <x v="2"/>
    <x v="3"/>
    <s v="Slack"/>
    <n v="1217.3699999999999"/>
    <n v="1000"/>
  </r>
  <r>
    <x v="469"/>
    <x v="178"/>
    <x v="3"/>
    <x v="0"/>
    <x v="5"/>
    <s v="Recruitment Partners"/>
    <n v="765.89"/>
    <n v="875"/>
  </r>
  <r>
    <x v="470"/>
    <x v="161"/>
    <x v="3"/>
    <x v="2"/>
    <x v="5"/>
    <s v="Recruitment Partners"/>
    <n v="711.01"/>
    <n v="875"/>
  </r>
  <r>
    <x v="471"/>
    <x v="178"/>
    <x v="3"/>
    <x v="1"/>
    <x v="5"/>
    <s v="PWC NZ"/>
    <n v="697.12"/>
    <n v="875"/>
  </r>
  <r>
    <x v="472"/>
    <x v="158"/>
    <x v="3"/>
    <x v="1"/>
    <x v="5"/>
    <s v="PWC NZ"/>
    <n v="1068.2"/>
    <n v="875"/>
  </r>
  <r>
    <x v="473"/>
    <x v="175"/>
    <x v="4"/>
    <x v="0"/>
    <x v="6"/>
    <s v="Payroll - Salaries"/>
    <n v="11044.87"/>
    <n v="9500"/>
  </r>
  <r>
    <x v="474"/>
    <x v="157"/>
    <x v="4"/>
    <x v="0"/>
    <x v="6"/>
    <s v="Payroll - Salaries"/>
    <n v="11630.6"/>
    <n v="9500"/>
  </r>
  <r>
    <x v="475"/>
    <x v="168"/>
    <x v="4"/>
    <x v="0"/>
    <x v="6"/>
    <s v="Payroll - Salaries"/>
    <n v="10768.06"/>
    <n v="9500"/>
  </r>
  <r>
    <x v="476"/>
    <x v="156"/>
    <x v="4"/>
    <x v="1"/>
    <x v="6"/>
    <s v="Payroll - Salaries"/>
    <n v="11347.74"/>
    <n v="9500"/>
  </r>
  <r>
    <x v="477"/>
    <x v="160"/>
    <x v="4"/>
    <x v="1"/>
    <x v="8"/>
    <s v="Cleaning Services Ltd"/>
    <n v="1744.88"/>
    <n v="2000"/>
  </r>
  <r>
    <x v="478"/>
    <x v="167"/>
    <x v="4"/>
    <x v="1"/>
    <x v="8"/>
    <s v="CBRE Property"/>
    <n v="1953.54"/>
    <n v="2000"/>
  </r>
  <r>
    <x v="479"/>
    <x v="174"/>
    <x v="4"/>
    <x v="0"/>
    <x v="8"/>
    <s v="Cleaning Services Ltd"/>
    <n v="1939.61"/>
    <n v="2000"/>
  </r>
  <r>
    <x v="480"/>
    <x v="158"/>
    <x v="4"/>
    <x v="0"/>
    <x v="8"/>
    <s v="Wellington Office Park"/>
    <n v="1840.19"/>
    <n v="2000"/>
  </r>
  <r>
    <x v="481"/>
    <x v="158"/>
    <x v="4"/>
    <x v="1"/>
    <x v="5"/>
    <s v="KPMG NZ"/>
    <n v="2165.9499999999998"/>
    <n v="1750"/>
  </r>
  <r>
    <x v="482"/>
    <x v="159"/>
    <x v="4"/>
    <x v="0"/>
    <x v="5"/>
    <s v="Deloitte NZ"/>
    <n v="1591.73"/>
    <n v="1750"/>
  </r>
  <r>
    <x v="483"/>
    <x v="158"/>
    <x v="4"/>
    <x v="1"/>
    <x v="5"/>
    <s v="Deloitte NZ"/>
    <n v="1705.9"/>
    <n v="1750"/>
  </r>
  <r>
    <x v="484"/>
    <x v="153"/>
    <x v="4"/>
    <x v="0"/>
    <x v="5"/>
    <s v="Recruitment Partners"/>
    <n v="1566.44"/>
    <n v="1750"/>
  </r>
  <r>
    <x v="485"/>
    <x v="164"/>
    <x v="4"/>
    <x v="0"/>
    <x v="3"/>
    <s v="HubSpot"/>
    <n v="443.28"/>
    <n v="360"/>
  </r>
  <r>
    <x v="486"/>
    <x v="165"/>
    <x v="4"/>
    <x v="1"/>
    <x v="3"/>
    <s v="Slack"/>
    <n v="438.08"/>
    <n v="360"/>
  </r>
  <r>
    <x v="487"/>
    <x v="174"/>
    <x v="4"/>
    <x v="0"/>
    <x v="3"/>
    <s v="Adobe"/>
    <n v="407.36"/>
    <n v="360"/>
  </r>
  <r>
    <x v="488"/>
    <x v="161"/>
    <x v="4"/>
    <x v="1"/>
    <x v="3"/>
    <s v="Zoom"/>
    <n v="359.78"/>
    <n v="360"/>
  </r>
  <r>
    <x v="489"/>
    <x v="153"/>
    <x v="4"/>
    <x v="0"/>
    <x v="3"/>
    <s v="Adobe"/>
    <n v="286.20999999999998"/>
    <n v="360"/>
  </r>
  <r>
    <x v="490"/>
    <x v="179"/>
    <x v="0"/>
    <x v="0"/>
    <x v="0"/>
    <s v="Fisher &amp; Paykel"/>
    <n v="31409.29"/>
    <n v="36000"/>
  </r>
  <r>
    <x v="491"/>
    <x v="180"/>
    <x v="0"/>
    <x v="2"/>
    <x v="0"/>
    <s v="Mainfreight"/>
    <n v="38905.599999999999"/>
    <n v="36000"/>
  </r>
  <r>
    <x v="492"/>
    <x v="181"/>
    <x v="0"/>
    <x v="2"/>
    <x v="0"/>
    <s v="Spark NZ"/>
    <n v="38971.74"/>
    <n v="36000"/>
  </r>
  <r>
    <x v="493"/>
    <x v="182"/>
    <x v="0"/>
    <x v="2"/>
    <x v="0"/>
    <s v="Fonterra Ltd"/>
    <n v="37697.01"/>
    <n v="36000"/>
  </r>
  <r>
    <x v="494"/>
    <x v="182"/>
    <x v="0"/>
    <x v="2"/>
    <x v="0"/>
    <s v="Fisher &amp; Paykel"/>
    <n v="34605.800000000003"/>
    <n v="36000"/>
  </r>
  <r>
    <x v="495"/>
    <x v="183"/>
    <x v="0"/>
    <x v="2"/>
    <x v="1"/>
    <s v="Payroll - Commissions"/>
    <n v="9019.15"/>
    <n v="9000"/>
  </r>
  <r>
    <x v="496"/>
    <x v="184"/>
    <x v="0"/>
    <x v="1"/>
    <x v="1"/>
    <s v="Payroll - Commissions"/>
    <n v="9811.7900000000009"/>
    <n v="9000"/>
  </r>
  <r>
    <x v="497"/>
    <x v="185"/>
    <x v="0"/>
    <x v="2"/>
    <x v="2"/>
    <s v="Ibis Hotels"/>
    <n v="1873.2"/>
    <n v="2000"/>
  </r>
  <r>
    <x v="498"/>
    <x v="186"/>
    <x v="0"/>
    <x v="2"/>
    <x v="2"/>
    <s v="Ibis Hotels"/>
    <n v="2254.9699999999998"/>
    <n v="2000"/>
  </r>
  <r>
    <x v="499"/>
    <x v="179"/>
    <x v="0"/>
    <x v="1"/>
    <x v="3"/>
    <s v="Salesforce"/>
    <n v="385.06"/>
    <n v="500"/>
  </r>
  <r>
    <x v="500"/>
    <x v="187"/>
    <x v="0"/>
    <x v="1"/>
    <x v="3"/>
    <s v="Adobe"/>
    <n v="458.26"/>
    <n v="500"/>
  </r>
  <r>
    <x v="501"/>
    <x v="188"/>
    <x v="0"/>
    <x v="2"/>
    <x v="3"/>
    <s v="Salesforce"/>
    <n v="412.24"/>
    <n v="500"/>
  </r>
  <r>
    <x v="502"/>
    <x v="185"/>
    <x v="0"/>
    <x v="2"/>
    <x v="3"/>
    <s v="Salesforce"/>
    <n v="607.84"/>
    <n v="500"/>
  </r>
  <r>
    <x v="503"/>
    <x v="189"/>
    <x v="0"/>
    <x v="2"/>
    <x v="3"/>
    <s v="HubSpot"/>
    <n v="622.65"/>
    <n v="500"/>
  </r>
  <r>
    <x v="504"/>
    <x v="190"/>
    <x v="1"/>
    <x v="1"/>
    <x v="4"/>
    <s v="TVNZ"/>
    <n v="8034.13"/>
    <n v="8750"/>
  </r>
  <r>
    <x v="505"/>
    <x v="191"/>
    <x v="1"/>
    <x v="1"/>
    <x v="4"/>
    <s v="LinkedIn Ads"/>
    <n v="8705.58"/>
    <n v="8750"/>
  </r>
  <r>
    <x v="506"/>
    <x v="182"/>
    <x v="1"/>
    <x v="2"/>
    <x v="4"/>
    <s v="LinkedIn Ads"/>
    <n v="10131.4"/>
    <n v="8750"/>
  </r>
  <r>
    <x v="507"/>
    <x v="181"/>
    <x v="1"/>
    <x v="1"/>
    <x v="4"/>
    <s v="TVNZ"/>
    <n v="7042.02"/>
    <n v="8750"/>
  </r>
  <r>
    <x v="508"/>
    <x v="192"/>
    <x v="1"/>
    <x v="1"/>
    <x v="3"/>
    <s v="Microsoft 365"/>
    <n v="889.54"/>
    <n v="750"/>
  </r>
  <r>
    <x v="509"/>
    <x v="192"/>
    <x v="1"/>
    <x v="1"/>
    <x v="3"/>
    <s v="HubSpot"/>
    <n v="740.47"/>
    <n v="750"/>
  </r>
  <r>
    <x v="510"/>
    <x v="189"/>
    <x v="1"/>
    <x v="1"/>
    <x v="3"/>
    <s v="Microsoft 365"/>
    <n v="779.11"/>
    <n v="750"/>
  </r>
  <r>
    <x v="511"/>
    <x v="188"/>
    <x v="1"/>
    <x v="1"/>
    <x v="3"/>
    <s v="Atlassian"/>
    <n v="742.67"/>
    <n v="750"/>
  </r>
  <r>
    <x v="512"/>
    <x v="193"/>
    <x v="1"/>
    <x v="0"/>
    <x v="2"/>
    <s v="Air New Zealand"/>
    <n v="580.41999999999996"/>
    <n v="500"/>
  </r>
  <r>
    <x v="513"/>
    <x v="184"/>
    <x v="1"/>
    <x v="1"/>
    <x v="2"/>
    <s v="Qantas"/>
    <n v="612.04999999999995"/>
    <n v="500"/>
  </r>
  <r>
    <x v="514"/>
    <x v="181"/>
    <x v="1"/>
    <x v="0"/>
    <x v="2"/>
    <s v="Qantas"/>
    <n v="485.26"/>
    <n v="500"/>
  </r>
  <r>
    <x v="515"/>
    <x v="181"/>
    <x v="1"/>
    <x v="2"/>
    <x v="2"/>
    <s v="Ibis Hotels"/>
    <n v="547.63"/>
    <n v="500"/>
  </r>
  <r>
    <x v="516"/>
    <x v="194"/>
    <x v="1"/>
    <x v="1"/>
    <x v="2"/>
    <s v="Air New Zealand"/>
    <n v="605.13"/>
    <n v="500"/>
  </r>
  <r>
    <x v="517"/>
    <x v="185"/>
    <x v="1"/>
    <x v="1"/>
    <x v="5"/>
    <s v="Legal Counsel Ltd"/>
    <n v="1707.34"/>
    <n v="2000"/>
  </r>
  <r>
    <x v="518"/>
    <x v="195"/>
    <x v="1"/>
    <x v="1"/>
    <x v="5"/>
    <s v="Legal Counsel Ltd"/>
    <n v="1876.82"/>
    <n v="2000"/>
  </r>
  <r>
    <x v="519"/>
    <x v="182"/>
    <x v="1"/>
    <x v="1"/>
    <x v="5"/>
    <s v="KPMG NZ"/>
    <n v="1842.33"/>
    <n v="2000"/>
  </r>
  <r>
    <x v="520"/>
    <x v="196"/>
    <x v="2"/>
    <x v="0"/>
    <x v="6"/>
    <s v="Payroll - Salaries"/>
    <n v="23344.71"/>
    <n v="19000"/>
  </r>
  <r>
    <x v="521"/>
    <x v="197"/>
    <x v="2"/>
    <x v="0"/>
    <x v="6"/>
    <s v="Payroll - Salaries"/>
    <n v="23194.11"/>
    <n v="19000"/>
  </r>
  <r>
    <x v="522"/>
    <x v="198"/>
    <x v="2"/>
    <x v="1"/>
    <x v="6"/>
    <s v="Payroll - Salaries"/>
    <n v="16219.14"/>
    <n v="19000"/>
  </r>
  <r>
    <x v="523"/>
    <x v="199"/>
    <x v="2"/>
    <x v="2"/>
    <x v="6"/>
    <s v="Payroll - Salaries"/>
    <n v="18808.13"/>
    <n v="19000"/>
  </r>
  <r>
    <x v="524"/>
    <x v="180"/>
    <x v="2"/>
    <x v="2"/>
    <x v="6"/>
    <s v="Payroll - Salaries"/>
    <n v="15407.8"/>
    <n v="19000"/>
  </r>
  <r>
    <x v="525"/>
    <x v="200"/>
    <x v="2"/>
    <x v="2"/>
    <x v="3"/>
    <s v="Salesforce"/>
    <n v="1104.57"/>
    <n v="900"/>
  </r>
  <r>
    <x v="526"/>
    <x v="198"/>
    <x v="2"/>
    <x v="2"/>
    <x v="3"/>
    <s v="Microsoft 365"/>
    <n v="693.93"/>
    <n v="900"/>
  </r>
  <r>
    <x v="527"/>
    <x v="192"/>
    <x v="2"/>
    <x v="2"/>
    <x v="3"/>
    <s v="Slack"/>
    <n v="1090.8"/>
    <n v="900"/>
  </r>
  <r>
    <x v="528"/>
    <x v="186"/>
    <x v="2"/>
    <x v="1"/>
    <x v="3"/>
    <s v="HubSpot"/>
    <n v="890.59"/>
    <n v="900"/>
  </r>
  <r>
    <x v="529"/>
    <x v="199"/>
    <x v="2"/>
    <x v="1"/>
    <x v="3"/>
    <s v="Atlassian"/>
    <n v="797.01"/>
    <n v="900"/>
  </r>
  <r>
    <x v="530"/>
    <x v="189"/>
    <x v="2"/>
    <x v="0"/>
    <x v="7"/>
    <s v="Google Cloud"/>
    <n v="2413.84"/>
    <n v="3000"/>
  </r>
  <r>
    <x v="531"/>
    <x v="180"/>
    <x v="2"/>
    <x v="0"/>
    <x v="7"/>
    <s v="Google Cloud"/>
    <n v="2613.69"/>
    <n v="3000"/>
  </r>
  <r>
    <x v="532"/>
    <x v="179"/>
    <x v="2"/>
    <x v="0"/>
    <x v="7"/>
    <s v="AWS"/>
    <n v="3206.92"/>
    <n v="3000"/>
  </r>
  <r>
    <x v="533"/>
    <x v="187"/>
    <x v="2"/>
    <x v="2"/>
    <x v="7"/>
    <s v="AWS"/>
    <n v="2745.44"/>
    <n v="3000"/>
  </r>
  <r>
    <x v="534"/>
    <x v="195"/>
    <x v="2"/>
    <x v="0"/>
    <x v="5"/>
    <s v="Legal Counsel Ltd"/>
    <n v="2053.77"/>
    <n v="1666.67"/>
  </r>
  <r>
    <x v="535"/>
    <x v="187"/>
    <x v="2"/>
    <x v="1"/>
    <x v="5"/>
    <s v="Legal Counsel Ltd"/>
    <n v="2029.19"/>
    <n v="1666.67"/>
  </r>
  <r>
    <x v="536"/>
    <x v="197"/>
    <x v="2"/>
    <x v="1"/>
    <x v="5"/>
    <s v="KPMG NZ"/>
    <n v="1416.21"/>
    <n v="1666.67"/>
  </r>
  <r>
    <x v="537"/>
    <x v="183"/>
    <x v="3"/>
    <x v="1"/>
    <x v="6"/>
    <s v="Payroll - Salaries"/>
    <n v="8185.6"/>
    <n v="10500"/>
  </r>
  <r>
    <x v="538"/>
    <x v="199"/>
    <x v="3"/>
    <x v="1"/>
    <x v="6"/>
    <s v="Payroll - Salaries"/>
    <n v="10889.2"/>
    <n v="10500"/>
  </r>
  <r>
    <x v="539"/>
    <x v="190"/>
    <x v="3"/>
    <x v="0"/>
    <x v="6"/>
    <s v="Payroll - Salaries"/>
    <n v="10068.9"/>
    <n v="10500"/>
  </r>
  <r>
    <x v="540"/>
    <x v="201"/>
    <x v="3"/>
    <x v="0"/>
    <x v="6"/>
    <s v="Payroll - Salaries"/>
    <n v="13110.15"/>
    <n v="10500"/>
  </r>
  <r>
    <x v="541"/>
    <x v="197"/>
    <x v="3"/>
    <x v="1"/>
    <x v="8"/>
    <s v="CBRE Property"/>
    <n v="6155.33"/>
    <n v="5000"/>
  </r>
  <r>
    <x v="542"/>
    <x v="202"/>
    <x v="3"/>
    <x v="0"/>
    <x v="8"/>
    <s v="CBRE Property"/>
    <n v="4495.9799999999996"/>
    <n v="5000"/>
  </r>
  <r>
    <x v="543"/>
    <x v="192"/>
    <x v="3"/>
    <x v="2"/>
    <x v="8"/>
    <s v="Cleaning Services Ltd"/>
    <n v="4461.3999999999996"/>
    <n v="5000"/>
  </r>
  <r>
    <x v="544"/>
    <x v="186"/>
    <x v="3"/>
    <x v="1"/>
    <x v="3"/>
    <s v="HubSpot"/>
    <n v="656.01"/>
    <n v="666.67"/>
  </r>
  <r>
    <x v="545"/>
    <x v="189"/>
    <x v="3"/>
    <x v="0"/>
    <x v="3"/>
    <s v="Zoom"/>
    <n v="610.23"/>
    <n v="666.67"/>
  </r>
  <r>
    <x v="546"/>
    <x v="195"/>
    <x v="3"/>
    <x v="1"/>
    <x v="3"/>
    <s v="Microsoft 365"/>
    <n v="585.75"/>
    <n v="666.67"/>
  </r>
  <r>
    <x v="547"/>
    <x v="183"/>
    <x v="3"/>
    <x v="2"/>
    <x v="5"/>
    <s v="PWC NZ"/>
    <n v="904.65"/>
    <n v="875"/>
  </r>
  <r>
    <x v="548"/>
    <x v="192"/>
    <x v="3"/>
    <x v="0"/>
    <x v="5"/>
    <s v="Legal Counsel Ltd"/>
    <n v="923.54"/>
    <n v="875"/>
  </r>
  <r>
    <x v="549"/>
    <x v="203"/>
    <x v="3"/>
    <x v="2"/>
    <x v="5"/>
    <s v="Legal Counsel Ltd"/>
    <n v="881.69"/>
    <n v="875"/>
  </r>
  <r>
    <x v="550"/>
    <x v="204"/>
    <x v="3"/>
    <x v="1"/>
    <x v="5"/>
    <s v="Legal Counsel Ltd"/>
    <n v="697.98"/>
    <n v="875"/>
  </r>
  <r>
    <x v="551"/>
    <x v="201"/>
    <x v="4"/>
    <x v="0"/>
    <x v="6"/>
    <s v="Payroll - Salaries"/>
    <n v="7157.44"/>
    <n v="9500"/>
  </r>
  <r>
    <x v="552"/>
    <x v="185"/>
    <x v="4"/>
    <x v="1"/>
    <x v="6"/>
    <s v="Payroll - Salaries"/>
    <n v="10705.34"/>
    <n v="9500"/>
  </r>
  <r>
    <x v="553"/>
    <x v="182"/>
    <x v="4"/>
    <x v="0"/>
    <x v="6"/>
    <s v="Payroll - Salaries"/>
    <n v="8367.3799999999992"/>
    <n v="9500"/>
  </r>
  <r>
    <x v="554"/>
    <x v="205"/>
    <x v="4"/>
    <x v="0"/>
    <x v="6"/>
    <s v="Payroll - Salaries"/>
    <n v="10296.98"/>
    <n v="9500"/>
  </r>
  <r>
    <x v="555"/>
    <x v="198"/>
    <x v="4"/>
    <x v="1"/>
    <x v="8"/>
    <s v="Wellington Office Park"/>
    <n v="2914.76"/>
    <n v="2666.67"/>
  </r>
  <r>
    <x v="556"/>
    <x v="197"/>
    <x v="4"/>
    <x v="0"/>
    <x v="8"/>
    <s v="Wellington Office Park"/>
    <n v="2851.62"/>
    <n v="2666.67"/>
  </r>
  <r>
    <x v="557"/>
    <x v="204"/>
    <x v="4"/>
    <x v="0"/>
    <x v="8"/>
    <s v="Cleaning Services Ltd"/>
    <n v="2292.17"/>
    <n v="2666.67"/>
  </r>
  <r>
    <x v="558"/>
    <x v="202"/>
    <x v="4"/>
    <x v="1"/>
    <x v="5"/>
    <s v="KPMG NZ"/>
    <n v="2622.36"/>
    <n v="2333.33"/>
  </r>
  <r>
    <x v="559"/>
    <x v="187"/>
    <x v="4"/>
    <x v="1"/>
    <x v="5"/>
    <s v="Recruitment Partners"/>
    <n v="2568.9299999999998"/>
    <n v="2333.33"/>
  </r>
  <r>
    <x v="560"/>
    <x v="180"/>
    <x v="4"/>
    <x v="0"/>
    <x v="5"/>
    <s v="Recruitment Partners"/>
    <n v="2638.84"/>
    <n v="2333.33"/>
  </r>
  <r>
    <x v="561"/>
    <x v="182"/>
    <x v="4"/>
    <x v="1"/>
    <x v="3"/>
    <s v="Microsoft 365"/>
    <n v="912.68"/>
    <n v="900"/>
  </r>
  <r>
    <x v="562"/>
    <x v="199"/>
    <x v="4"/>
    <x v="0"/>
    <x v="3"/>
    <s v="Adobe"/>
    <n v="702.79"/>
    <n v="900"/>
  </r>
  <r>
    <x v="563"/>
    <x v="206"/>
    <x v="0"/>
    <x v="1"/>
    <x v="0"/>
    <s v="Mainfreight"/>
    <n v="55936.11"/>
    <n v="60000"/>
  </r>
  <r>
    <x v="564"/>
    <x v="207"/>
    <x v="0"/>
    <x v="0"/>
    <x v="0"/>
    <s v="Meridian Energy"/>
    <n v="72507.539999999994"/>
    <n v="60000"/>
  </r>
  <r>
    <x v="565"/>
    <x v="208"/>
    <x v="0"/>
    <x v="1"/>
    <x v="0"/>
    <s v="Contact Energy"/>
    <n v="52669.07"/>
    <n v="60000"/>
  </r>
  <r>
    <x v="566"/>
    <x v="209"/>
    <x v="0"/>
    <x v="1"/>
    <x v="1"/>
    <s v="Payroll - Commissions"/>
    <n v="2803.93"/>
    <n v="3600"/>
  </r>
  <r>
    <x v="567"/>
    <x v="210"/>
    <x v="0"/>
    <x v="1"/>
    <x v="1"/>
    <s v="Payroll - Commissions"/>
    <n v="2739.19"/>
    <n v="3600"/>
  </r>
  <r>
    <x v="568"/>
    <x v="211"/>
    <x v="0"/>
    <x v="1"/>
    <x v="1"/>
    <s v="Payroll - Commissions"/>
    <n v="3092.22"/>
    <n v="3600"/>
  </r>
  <r>
    <x v="569"/>
    <x v="211"/>
    <x v="0"/>
    <x v="2"/>
    <x v="1"/>
    <s v="Payroll - Commissions"/>
    <n v="3320.15"/>
    <n v="3600"/>
  </r>
  <r>
    <x v="570"/>
    <x v="207"/>
    <x v="0"/>
    <x v="0"/>
    <x v="1"/>
    <s v="Payroll - Commissions"/>
    <n v="4475.05"/>
    <n v="3600"/>
  </r>
  <r>
    <x v="571"/>
    <x v="208"/>
    <x v="0"/>
    <x v="2"/>
    <x v="2"/>
    <s v="Hertz Rental"/>
    <n v="839.99"/>
    <n v="1000"/>
  </r>
  <r>
    <x v="572"/>
    <x v="212"/>
    <x v="0"/>
    <x v="2"/>
    <x v="2"/>
    <s v="Hertz Rental"/>
    <n v="1246.43"/>
    <n v="1000"/>
  </r>
  <r>
    <x v="573"/>
    <x v="213"/>
    <x v="0"/>
    <x v="2"/>
    <x v="2"/>
    <s v="Ibis Hotels"/>
    <n v="937.82"/>
    <n v="1000"/>
  </r>
  <r>
    <x v="574"/>
    <x v="214"/>
    <x v="0"/>
    <x v="0"/>
    <x v="2"/>
    <s v="Air New Zealand"/>
    <n v="1076.77"/>
    <n v="1000"/>
  </r>
  <r>
    <x v="575"/>
    <x v="208"/>
    <x v="0"/>
    <x v="1"/>
    <x v="3"/>
    <s v="Atlassian"/>
    <n v="788.77"/>
    <n v="833.33"/>
  </r>
  <r>
    <x v="576"/>
    <x v="215"/>
    <x v="0"/>
    <x v="0"/>
    <x v="3"/>
    <s v="Microsoft 365"/>
    <n v="972.84"/>
    <n v="833.33"/>
  </r>
  <r>
    <x v="577"/>
    <x v="216"/>
    <x v="0"/>
    <x v="2"/>
    <x v="3"/>
    <s v="Adobe"/>
    <n v="817.92"/>
    <n v="833.33"/>
  </r>
  <r>
    <x v="578"/>
    <x v="217"/>
    <x v="1"/>
    <x v="1"/>
    <x v="4"/>
    <s v="Google Ads"/>
    <n v="6577.47"/>
    <n v="7000"/>
  </r>
  <r>
    <x v="579"/>
    <x v="210"/>
    <x v="1"/>
    <x v="2"/>
    <x v="4"/>
    <s v="Google Ads"/>
    <n v="6461.56"/>
    <n v="7000"/>
  </r>
  <r>
    <x v="580"/>
    <x v="218"/>
    <x v="1"/>
    <x v="1"/>
    <x v="4"/>
    <s v="Event Sponsorship Co"/>
    <n v="7929.21"/>
    <n v="7000"/>
  </r>
  <r>
    <x v="581"/>
    <x v="219"/>
    <x v="1"/>
    <x v="2"/>
    <x v="4"/>
    <s v="Google Ads"/>
    <n v="7402.23"/>
    <n v="7000"/>
  </r>
  <r>
    <x v="582"/>
    <x v="220"/>
    <x v="1"/>
    <x v="0"/>
    <x v="4"/>
    <s v="Meta Ads"/>
    <n v="5485.52"/>
    <n v="7000"/>
  </r>
  <r>
    <x v="583"/>
    <x v="206"/>
    <x v="1"/>
    <x v="1"/>
    <x v="3"/>
    <s v="Microsoft 365"/>
    <n v="651.61"/>
    <n v="600"/>
  </r>
  <r>
    <x v="584"/>
    <x v="212"/>
    <x v="1"/>
    <x v="0"/>
    <x v="3"/>
    <s v="Zoom"/>
    <n v="672.16"/>
    <n v="600"/>
  </r>
  <r>
    <x v="585"/>
    <x v="215"/>
    <x v="1"/>
    <x v="0"/>
    <x v="3"/>
    <s v="HubSpot"/>
    <n v="611.92999999999995"/>
    <n v="600"/>
  </r>
  <r>
    <x v="586"/>
    <x v="221"/>
    <x v="1"/>
    <x v="0"/>
    <x v="3"/>
    <s v="Salesforce"/>
    <n v="492.04"/>
    <n v="600"/>
  </r>
  <r>
    <x v="587"/>
    <x v="222"/>
    <x v="1"/>
    <x v="1"/>
    <x v="3"/>
    <s v="Adobe"/>
    <n v="622.83000000000004"/>
    <n v="600"/>
  </r>
  <r>
    <x v="588"/>
    <x v="208"/>
    <x v="1"/>
    <x v="0"/>
    <x v="2"/>
    <s v="Ibis Hotels"/>
    <n v="563.04999999999995"/>
    <n v="625"/>
  </r>
  <r>
    <x v="589"/>
    <x v="210"/>
    <x v="1"/>
    <x v="0"/>
    <x v="2"/>
    <s v="Air New Zealand"/>
    <n v="597.99"/>
    <n v="625"/>
  </r>
  <r>
    <x v="590"/>
    <x v="216"/>
    <x v="1"/>
    <x v="1"/>
    <x v="2"/>
    <s v="Qantas"/>
    <n v="765.16"/>
    <n v="625"/>
  </r>
  <r>
    <x v="591"/>
    <x v="223"/>
    <x v="1"/>
    <x v="1"/>
    <x v="2"/>
    <s v="Hertz Rental"/>
    <n v="680.86"/>
    <n v="625"/>
  </r>
  <r>
    <x v="592"/>
    <x v="213"/>
    <x v="1"/>
    <x v="2"/>
    <x v="5"/>
    <s v="Legal Counsel Ltd"/>
    <n v="3662.38"/>
    <n v="3000"/>
  </r>
  <r>
    <x v="593"/>
    <x v="224"/>
    <x v="1"/>
    <x v="1"/>
    <x v="5"/>
    <s v="Legal Counsel Ltd"/>
    <n v="2728.1"/>
    <n v="3000"/>
  </r>
  <r>
    <x v="594"/>
    <x v="215"/>
    <x v="2"/>
    <x v="2"/>
    <x v="6"/>
    <s v="Payroll - Salaries"/>
    <n v="29710.62"/>
    <n v="31666.67"/>
  </r>
  <r>
    <x v="595"/>
    <x v="221"/>
    <x v="2"/>
    <x v="0"/>
    <x v="6"/>
    <s v="Payroll - Salaries"/>
    <n v="37197.9"/>
    <n v="31666.67"/>
  </r>
  <r>
    <x v="596"/>
    <x v="223"/>
    <x v="2"/>
    <x v="2"/>
    <x v="6"/>
    <s v="Payroll - Salaries"/>
    <n v="38233.4"/>
    <n v="31666.67"/>
  </r>
  <r>
    <x v="597"/>
    <x v="212"/>
    <x v="2"/>
    <x v="1"/>
    <x v="3"/>
    <s v="Salesforce"/>
    <n v="913.5"/>
    <n v="900"/>
  </r>
  <r>
    <x v="598"/>
    <x v="225"/>
    <x v="2"/>
    <x v="2"/>
    <x v="3"/>
    <s v="Microsoft 365"/>
    <n v="766.5"/>
    <n v="900"/>
  </r>
  <r>
    <x v="599"/>
    <x v="211"/>
    <x v="2"/>
    <x v="2"/>
    <x v="3"/>
    <s v="Adobe"/>
    <n v="1056.21"/>
    <n v="900"/>
  </r>
  <r>
    <x v="600"/>
    <x v="218"/>
    <x v="2"/>
    <x v="1"/>
    <x v="3"/>
    <s v="Slack"/>
    <n v="1048.23"/>
    <n v="900"/>
  </r>
  <r>
    <x v="601"/>
    <x v="220"/>
    <x v="2"/>
    <x v="2"/>
    <x v="3"/>
    <s v="Microsoft 365"/>
    <n v="978.15"/>
    <n v="900"/>
  </r>
  <r>
    <x v="602"/>
    <x v="222"/>
    <x v="2"/>
    <x v="0"/>
    <x v="7"/>
    <s v="Google Cloud"/>
    <n v="6913.95"/>
    <n v="6000"/>
  </r>
  <r>
    <x v="603"/>
    <x v="207"/>
    <x v="2"/>
    <x v="1"/>
    <x v="7"/>
    <s v="AWS"/>
    <n v="6176.55"/>
    <n v="6000"/>
  </r>
  <r>
    <x v="604"/>
    <x v="219"/>
    <x v="2"/>
    <x v="2"/>
    <x v="5"/>
    <s v="PWC NZ"/>
    <n v="1535.64"/>
    <n v="1250"/>
  </r>
  <r>
    <x v="605"/>
    <x v="226"/>
    <x v="2"/>
    <x v="0"/>
    <x v="5"/>
    <s v="Legal Counsel Ltd"/>
    <n v="1538.8"/>
    <n v="1250"/>
  </r>
  <r>
    <x v="606"/>
    <x v="227"/>
    <x v="2"/>
    <x v="0"/>
    <x v="5"/>
    <s v="PWC NZ"/>
    <n v="1372.27"/>
    <n v="1250"/>
  </r>
  <r>
    <x v="607"/>
    <x v="223"/>
    <x v="2"/>
    <x v="2"/>
    <x v="5"/>
    <s v="KPMG NZ"/>
    <n v="1509.45"/>
    <n v="1250"/>
  </r>
  <r>
    <x v="608"/>
    <x v="225"/>
    <x v="3"/>
    <x v="2"/>
    <x v="6"/>
    <s v="Payroll - Salaries"/>
    <n v="10322.81"/>
    <n v="10500"/>
  </r>
  <r>
    <x v="609"/>
    <x v="228"/>
    <x v="3"/>
    <x v="2"/>
    <x v="6"/>
    <s v="Payroll - Salaries"/>
    <n v="9248.2000000000007"/>
    <n v="10500"/>
  </r>
  <r>
    <x v="610"/>
    <x v="216"/>
    <x v="3"/>
    <x v="2"/>
    <x v="6"/>
    <s v="Payroll - Salaries"/>
    <n v="8392.69"/>
    <n v="10500"/>
  </r>
  <r>
    <x v="611"/>
    <x v="214"/>
    <x v="3"/>
    <x v="2"/>
    <x v="6"/>
    <s v="Payroll - Salaries"/>
    <n v="12675.24"/>
    <n v="10500"/>
  </r>
  <r>
    <x v="612"/>
    <x v="217"/>
    <x v="3"/>
    <x v="0"/>
    <x v="8"/>
    <s v="Auckland CBD Landlord"/>
    <n v="3093.79"/>
    <n v="3000"/>
  </r>
  <r>
    <x v="613"/>
    <x v="222"/>
    <x v="3"/>
    <x v="0"/>
    <x v="8"/>
    <s v="Cleaning Services Ltd"/>
    <n v="2641.16"/>
    <n v="3000"/>
  </r>
  <r>
    <x v="614"/>
    <x v="229"/>
    <x v="3"/>
    <x v="2"/>
    <x v="8"/>
    <s v="Auckland CBD Landlord"/>
    <n v="2478.62"/>
    <n v="3000"/>
  </r>
  <r>
    <x v="615"/>
    <x v="217"/>
    <x v="3"/>
    <x v="2"/>
    <x v="8"/>
    <s v="Cleaning Services Ltd"/>
    <n v="3104.68"/>
    <n v="3000"/>
  </r>
  <r>
    <x v="616"/>
    <x v="213"/>
    <x v="3"/>
    <x v="1"/>
    <x v="8"/>
    <s v="Wellington Office Park"/>
    <n v="3231.91"/>
    <n v="3000"/>
  </r>
  <r>
    <x v="617"/>
    <x v="225"/>
    <x v="3"/>
    <x v="2"/>
    <x v="3"/>
    <s v="Atlassian"/>
    <n v="616.63"/>
    <n v="500"/>
  </r>
  <r>
    <x v="618"/>
    <x v="216"/>
    <x v="3"/>
    <x v="2"/>
    <x v="3"/>
    <s v="HubSpot"/>
    <n v="490.21"/>
    <n v="500"/>
  </r>
  <r>
    <x v="619"/>
    <x v="216"/>
    <x v="3"/>
    <x v="2"/>
    <x v="3"/>
    <s v="Adobe"/>
    <n v="417.32"/>
    <n v="500"/>
  </r>
  <r>
    <x v="620"/>
    <x v="223"/>
    <x v="3"/>
    <x v="2"/>
    <x v="3"/>
    <s v="Atlassian"/>
    <n v="421.01"/>
    <n v="500"/>
  </r>
  <r>
    <x v="621"/>
    <x v="206"/>
    <x v="3"/>
    <x v="1"/>
    <x v="5"/>
    <s v="Deloitte NZ"/>
    <n v="1342.1"/>
    <n v="1750"/>
  </r>
  <r>
    <x v="622"/>
    <x v="219"/>
    <x v="3"/>
    <x v="1"/>
    <x v="5"/>
    <s v="Legal Counsel Ltd"/>
    <n v="1354.95"/>
    <n v="1750"/>
  </r>
  <r>
    <x v="623"/>
    <x v="208"/>
    <x v="4"/>
    <x v="0"/>
    <x v="6"/>
    <s v="Payroll - Salaries"/>
    <n v="9930.4599999999991"/>
    <n v="12666.67"/>
  </r>
  <r>
    <x v="624"/>
    <x v="214"/>
    <x v="4"/>
    <x v="0"/>
    <x v="6"/>
    <s v="Payroll - Salaries"/>
    <n v="12702.98"/>
    <n v="12666.67"/>
  </r>
  <r>
    <x v="625"/>
    <x v="219"/>
    <x v="4"/>
    <x v="1"/>
    <x v="6"/>
    <s v="Payroll - Salaries"/>
    <n v="13675.47"/>
    <n v="12666.67"/>
  </r>
  <r>
    <x v="626"/>
    <x v="216"/>
    <x v="4"/>
    <x v="0"/>
    <x v="8"/>
    <s v="Wellington Office Park"/>
    <n v="1213.3800000000001"/>
    <n v="1600"/>
  </r>
  <r>
    <x v="627"/>
    <x v="230"/>
    <x v="4"/>
    <x v="1"/>
    <x v="8"/>
    <s v="Cleaning Services Ltd"/>
    <n v="1213.71"/>
    <n v="1600"/>
  </r>
  <r>
    <x v="628"/>
    <x v="226"/>
    <x v="4"/>
    <x v="0"/>
    <x v="8"/>
    <s v="Auckland CBD Landlord"/>
    <n v="1285.6099999999999"/>
    <n v="1600"/>
  </r>
  <r>
    <x v="629"/>
    <x v="228"/>
    <x v="4"/>
    <x v="0"/>
    <x v="8"/>
    <s v="Wellington Office Park"/>
    <n v="1353.55"/>
    <n v="1600"/>
  </r>
  <r>
    <x v="630"/>
    <x v="212"/>
    <x v="4"/>
    <x v="1"/>
    <x v="8"/>
    <s v="CBRE Property"/>
    <n v="1413.86"/>
    <n v="1600"/>
  </r>
  <r>
    <x v="631"/>
    <x v="217"/>
    <x v="4"/>
    <x v="1"/>
    <x v="5"/>
    <s v="PWC NZ"/>
    <n v="1714.12"/>
    <n v="1750"/>
  </r>
  <r>
    <x v="632"/>
    <x v="206"/>
    <x v="4"/>
    <x v="1"/>
    <x v="5"/>
    <s v="Deloitte NZ"/>
    <n v="1911.04"/>
    <n v="1750"/>
  </r>
  <r>
    <x v="633"/>
    <x v="212"/>
    <x v="4"/>
    <x v="0"/>
    <x v="5"/>
    <s v="Legal Counsel Ltd"/>
    <n v="1394.31"/>
    <n v="1750"/>
  </r>
  <r>
    <x v="634"/>
    <x v="219"/>
    <x v="4"/>
    <x v="1"/>
    <x v="5"/>
    <s v="PWC NZ"/>
    <n v="1361.6"/>
    <n v="1750"/>
  </r>
  <r>
    <x v="635"/>
    <x v="225"/>
    <x v="4"/>
    <x v="1"/>
    <x v="3"/>
    <s v="HubSpot"/>
    <n v="1055.4000000000001"/>
    <n v="900"/>
  </r>
  <r>
    <x v="636"/>
    <x v="206"/>
    <x v="4"/>
    <x v="1"/>
    <x v="3"/>
    <s v="Microsoft 365"/>
    <n v="929.64"/>
    <n v="900"/>
  </r>
  <r>
    <x v="637"/>
    <x v="231"/>
    <x v="0"/>
    <x v="0"/>
    <x v="0"/>
    <s v="Mainfreight"/>
    <n v="127121.79"/>
    <n v="90000"/>
  </r>
  <r>
    <x v="638"/>
    <x v="232"/>
    <x v="0"/>
    <x v="2"/>
    <x v="0"/>
    <s v="Fonterra Ltd"/>
    <n v="87830.23"/>
    <n v="90000"/>
  </r>
  <r>
    <x v="639"/>
    <x v="233"/>
    <x v="0"/>
    <x v="2"/>
    <x v="1"/>
    <s v="Payroll - Commissions"/>
    <n v="4546.97"/>
    <n v="6000"/>
  </r>
  <r>
    <x v="640"/>
    <x v="234"/>
    <x v="0"/>
    <x v="1"/>
    <x v="1"/>
    <s v="Payroll - Commissions"/>
    <n v="6962.71"/>
    <n v="6000"/>
  </r>
  <r>
    <x v="641"/>
    <x v="231"/>
    <x v="0"/>
    <x v="0"/>
    <x v="1"/>
    <s v="Payroll - Commissions"/>
    <n v="6191.87"/>
    <n v="6000"/>
  </r>
  <r>
    <x v="642"/>
    <x v="235"/>
    <x v="0"/>
    <x v="2"/>
    <x v="2"/>
    <s v="Air New Zealand"/>
    <n v="1127.8"/>
    <n v="1000"/>
  </r>
  <r>
    <x v="643"/>
    <x v="236"/>
    <x v="0"/>
    <x v="1"/>
    <x v="2"/>
    <s v="Air New Zealand"/>
    <n v="1122.73"/>
    <n v="1000"/>
  </r>
  <r>
    <x v="644"/>
    <x v="237"/>
    <x v="0"/>
    <x v="0"/>
    <x v="2"/>
    <s v="Air New Zealand"/>
    <n v="968.54"/>
    <n v="1000"/>
  </r>
  <r>
    <x v="645"/>
    <x v="238"/>
    <x v="0"/>
    <x v="2"/>
    <x v="2"/>
    <s v="Ibis Hotels"/>
    <n v="1052.58"/>
    <n v="1000"/>
  </r>
  <r>
    <x v="646"/>
    <x v="232"/>
    <x v="0"/>
    <x v="2"/>
    <x v="3"/>
    <s v="HubSpot"/>
    <n v="382.41"/>
    <n v="500"/>
  </r>
  <r>
    <x v="647"/>
    <x v="236"/>
    <x v="0"/>
    <x v="2"/>
    <x v="3"/>
    <s v="Adobe"/>
    <n v="497.65"/>
    <n v="500"/>
  </r>
  <r>
    <x v="648"/>
    <x v="239"/>
    <x v="0"/>
    <x v="2"/>
    <x v="3"/>
    <s v="Adobe"/>
    <n v="482.96"/>
    <n v="500"/>
  </r>
  <r>
    <x v="649"/>
    <x v="240"/>
    <x v="0"/>
    <x v="1"/>
    <x v="3"/>
    <s v="Adobe"/>
    <n v="470.02"/>
    <n v="500"/>
  </r>
  <r>
    <x v="650"/>
    <x v="241"/>
    <x v="0"/>
    <x v="2"/>
    <x v="3"/>
    <s v="Microsoft 365"/>
    <n v="574.51"/>
    <n v="500"/>
  </r>
  <r>
    <x v="651"/>
    <x v="241"/>
    <x v="1"/>
    <x v="2"/>
    <x v="4"/>
    <s v="Event Sponsorship Co"/>
    <n v="14474.43"/>
    <n v="17500"/>
  </r>
  <r>
    <x v="652"/>
    <x v="242"/>
    <x v="1"/>
    <x v="0"/>
    <x v="4"/>
    <s v="LinkedIn Ads"/>
    <n v="19596.98"/>
    <n v="17500"/>
  </r>
  <r>
    <x v="653"/>
    <x v="243"/>
    <x v="1"/>
    <x v="0"/>
    <x v="3"/>
    <s v="Zoom"/>
    <n v="1128.9000000000001"/>
    <n v="1500"/>
  </r>
  <r>
    <x v="654"/>
    <x v="244"/>
    <x v="1"/>
    <x v="2"/>
    <x v="3"/>
    <s v="Salesforce"/>
    <n v="1696.01"/>
    <n v="1500"/>
  </r>
  <r>
    <x v="655"/>
    <x v="245"/>
    <x v="1"/>
    <x v="0"/>
    <x v="2"/>
    <s v="Ibis Hotels"/>
    <n v="1206.8599999999999"/>
    <n v="1250"/>
  </r>
  <r>
    <x v="656"/>
    <x v="246"/>
    <x v="1"/>
    <x v="1"/>
    <x v="2"/>
    <s v="Air New Zealand"/>
    <n v="1192.53"/>
    <n v="1250"/>
  </r>
  <r>
    <x v="657"/>
    <x v="238"/>
    <x v="1"/>
    <x v="1"/>
    <x v="5"/>
    <s v="KPMG NZ"/>
    <n v="1194.8"/>
    <n v="1500"/>
  </r>
  <r>
    <x v="658"/>
    <x v="247"/>
    <x v="1"/>
    <x v="2"/>
    <x v="5"/>
    <s v="Legal Counsel Ltd"/>
    <n v="1134.26"/>
    <n v="1500"/>
  </r>
  <r>
    <x v="659"/>
    <x v="245"/>
    <x v="1"/>
    <x v="0"/>
    <x v="5"/>
    <s v="PWC NZ"/>
    <n v="1668.63"/>
    <n v="1500"/>
  </r>
  <r>
    <x v="660"/>
    <x v="239"/>
    <x v="1"/>
    <x v="1"/>
    <x v="5"/>
    <s v="Legal Counsel Ltd"/>
    <n v="1515.83"/>
    <n v="1500"/>
  </r>
  <r>
    <x v="661"/>
    <x v="232"/>
    <x v="2"/>
    <x v="0"/>
    <x v="6"/>
    <s v="Payroll - Salaries"/>
    <n v="28007.88"/>
    <n v="31666.67"/>
  </r>
  <r>
    <x v="662"/>
    <x v="247"/>
    <x v="2"/>
    <x v="0"/>
    <x v="6"/>
    <s v="Payroll - Salaries"/>
    <n v="24751.73"/>
    <n v="31666.67"/>
  </r>
  <r>
    <x v="663"/>
    <x v="248"/>
    <x v="2"/>
    <x v="2"/>
    <x v="6"/>
    <s v="Payroll - Salaries"/>
    <n v="28496.080000000002"/>
    <n v="31666.67"/>
  </r>
  <r>
    <x v="664"/>
    <x v="249"/>
    <x v="2"/>
    <x v="2"/>
    <x v="3"/>
    <s v="Atlassian"/>
    <n v="1374.88"/>
    <n v="1125"/>
  </r>
  <r>
    <x v="665"/>
    <x v="233"/>
    <x v="2"/>
    <x v="2"/>
    <x v="3"/>
    <s v="Zoom"/>
    <n v="1177.77"/>
    <n v="1125"/>
  </r>
  <r>
    <x v="666"/>
    <x v="246"/>
    <x v="2"/>
    <x v="0"/>
    <x v="3"/>
    <s v="Zoom"/>
    <n v="919.96"/>
    <n v="1125"/>
  </r>
  <r>
    <x v="667"/>
    <x v="250"/>
    <x v="2"/>
    <x v="2"/>
    <x v="3"/>
    <s v="HubSpot"/>
    <n v="1317.16"/>
    <n v="1125"/>
  </r>
  <r>
    <x v="668"/>
    <x v="237"/>
    <x v="2"/>
    <x v="2"/>
    <x v="7"/>
    <s v="Google Cloud"/>
    <n v="2752.1"/>
    <n v="3000"/>
  </r>
  <r>
    <x v="669"/>
    <x v="242"/>
    <x v="2"/>
    <x v="1"/>
    <x v="7"/>
    <s v="Google Cloud"/>
    <n v="2454.19"/>
    <n v="3000"/>
  </r>
  <r>
    <x v="670"/>
    <x v="242"/>
    <x v="2"/>
    <x v="1"/>
    <x v="7"/>
    <s v="AWS"/>
    <n v="2551.2800000000002"/>
    <n v="3000"/>
  </r>
  <r>
    <x v="671"/>
    <x v="243"/>
    <x v="2"/>
    <x v="2"/>
    <x v="7"/>
    <s v="Google Cloud"/>
    <n v="3703.09"/>
    <n v="3000"/>
  </r>
  <r>
    <x v="672"/>
    <x v="242"/>
    <x v="2"/>
    <x v="1"/>
    <x v="5"/>
    <s v="Legal Counsel Ltd"/>
    <n v="1140.99"/>
    <n v="1000"/>
  </r>
  <r>
    <x v="673"/>
    <x v="250"/>
    <x v="2"/>
    <x v="2"/>
    <x v="5"/>
    <s v="KPMG NZ"/>
    <n v="1158.25"/>
    <n v="1000"/>
  </r>
  <r>
    <x v="674"/>
    <x v="233"/>
    <x v="2"/>
    <x v="0"/>
    <x v="5"/>
    <s v="Recruitment Partners"/>
    <n v="1216.03"/>
    <n v="1000"/>
  </r>
  <r>
    <x v="675"/>
    <x v="240"/>
    <x v="2"/>
    <x v="1"/>
    <x v="5"/>
    <s v="Recruitment Partners"/>
    <n v="839.96"/>
    <n v="1000"/>
  </r>
  <r>
    <x v="676"/>
    <x v="251"/>
    <x v="2"/>
    <x v="0"/>
    <x v="5"/>
    <s v="PWC NZ"/>
    <n v="1226.5"/>
    <n v="1000"/>
  </r>
  <r>
    <x v="677"/>
    <x v="234"/>
    <x v="3"/>
    <x v="2"/>
    <x v="6"/>
    <s v="Payroll - Salaries"/>
    <n v="9791.3799999999992"/>
    <n v="8400"/>
  </r>
  <r>
    <x v="678"/>
    <x v="252"/>
    <x v="3"/>
    <x v="1"/>
    <x v="6"/>
    <s v="Payroll - Salaries"/>
    <n v="8397.07"/>
    <n v="8400"/>
  </r>
  <r>
    <x v="679"/>
    <x v="235"/>
    <x v="3"/>
    <x v="0"/>
    <x v="6"/>
    <s v="Payroll - Salaries"/>
    <n v="7361.26"/>
    <n v="8400"/>
  </r>
  <r>
    <x v="680"/>
    <x v="238"/>
    <x v="3"/>
    <x v="2"/>
    <x v="6"/>
    <s v="Payroll - Salaries"/>
    <n v="6610.65"/>
    <n v="8400"/>
  </r>
  <r>
    <x v="681"/>
    <x v="253"/>
    <x v="3"/>
    <x v="1"/>
    <x v="6"/>
    <s v="Payroll - Salaries"/>
    <n v="7983.38"/>
    <n v="8400"/>
  </r>
  <r>
    <x v="682"/>
    <x v="248"/>
    <x v="3"/>
    <x v="2"/>
    <x v="8"/>
    <s v="CBRE Property"/>
    <n v="8256.1299999999992"/>
    <n v="7500"/>
  </r>
  <r>
    <x v="683"/>
    <x v="239"/>
    <x v="3"/>
    <x v="0"/>
    <x v="8"/>
    <s v="Wellington Office Park"/>
    <n v="8508.58"/>
    <n v="7500"/>
  </r>
  <r>
    <x v="684"/>
    <x v="231"/>
    <x v="3"/>
    <x v="1"/>
    <x v="3"/>
    <s v="Atlassian"/>
    <n v="704.23"/>
    <n v="666.67"/>
  </r>
  <r>
    <x v="685"/>
    <x v="240"/>
    <x v="3"/>
    <x v="1"/>
    <x v="3"/>
    <s v="Slack"/>
    <n v="715.58"/>
    <n v="666.67"/>
  </r>
  <r>
    <x v="686"/>
    <x v="244"/>
    <x v="3"/>
    <x v="2"/>
    <x v="3"/>
    <s v="Slack"/>
    <n v="535.30999999999995"/>
    <n v="666.67"/>
  </r>
  <r>
    <x v="687"/>
    <x v="245"/>
    <x v="3"/>
    <x v="1"/>
    <x v="5"/>
    <s v="Recruitment Partners"/>
    <n v="1310.6600000000001"/>
    <n v="1166.67"/>
  </r>
  <r>
    <x v="688"/>
    <x v="251"/>
    <x v="3"/>
    <x v="1"/>
    <x v="5"/>
    <s v="KPMG NZ"/>
    <n v="1210.55"/>
    <n v="1166.67"/>
  </r>
  <r>
    <x v="689"/>
    <x v="239"/>
    <x v="3"/>
    <x v="2"/>
    <x v="5"/>
    <s v="Recruitment Partners"/>
    <n v="1145.1199999999999"/>
    <n v="1166.67"/>
  </r>
  <r>
    <x v="690"/>
    <x v="254"/>
    <x v="4"/>
    <x v="1"/>
    <x v="6"/>
    <s v="Payroll - Salaries"/>
    <n v="15818.78"/>
    <n v="12666.67"/>
  </r>
  <r>
    <x v="691"/>
    <x v="234"/>
    <x v="4"/>
    <x v="1"/>
    <x v="6"/>
    <s v="Payroll - Salaries"/>
    <n v="12134.51"/>
    <n v="12666.67"/>
  </r>
  <r>
    <x v="692"/>
    <x v="242"/>
    <x v="4"/>
    <x v="0"/>
    <x v="6"/>
    <s v="Payroll - Salaries"/>
    <n v="11706.08"/>
    <n v="12666.67"/>
  </r>
  <r>
    <x v="693"/>
    <x v="244"/>
    <x v="4"/>
    <x v="1"/>
    <x v="8"/>
    <s v="Cleaning Services Ltd"/>
    <n v="2464.4"/>
    <n v="2666.67"/>
  </r>
  <r>
    <x v="694"/>
    <x v="243"/>
    <x v="4"/>
    <x v="1"/>
    <x v="8"/>
    <s v="CBRE Property"/>
    <n v="2425.21"/>
    <n v="2666.67"/>
  </r>
  <r>
    <x v="695"/>
    <x v="242"/>
    <x v="4"/>
    <x v="0"/>
    <x v="8"/>
    <s v="CBRE Property"/>
    <n v="2030.11"/>
    <n v="2666.67"/>
  </r>
  <r>
    <x v="696"/>
    <x v="245"/>
    <x v="4"/>
    <x v="0"/>
    <x v="5"/>
    <s v="PWC NZ"/>
    <n v="2351.9899999999998"/>
    <n v="2333.33"/>
  </r>
  <r>
    <x v="697"/>
    <x v="251"/>
    <x v="4"/>
    <x v="1"/>
    <x v="5"/>
    <s v="PWC NZ"/>
    <n v="2403.16"/>
    <n v="2333.33"/>
  </r>
  <r>
    <x v="698"/>
    <x v="255"/>
    <x v="4"/>
    <x v="1"/>
    <x v="5"/>
    <s v="Legal Counsel Ltd"/>
    <n v="2484.7199999999998"/>
    <n v="2333.33"/>
  </r>
  <r>
    <x v="699"/>
    <x v="233"/>
    <x v="4"/>
    <x v="0"/>
    <x v="3"/>
    <s v="Zoom"/>
    <n v="402.73"/>
    <n v="360"/>
  </r>
  <r>
    <x v="700"/>
    <x v="241"/>
    <x v="4"/>
    <x v="1"/>
    <x v="3"/>
    <s v="Salesforce"/>
    <n v="339.99"/>
    <n v="360"/>
  </r>
  <r>
    <x v="701"/>
    <x v="241"/>
    <x v="4"/>
    <x v="0"/>
    <x v="3"/>
    <s v="HubSpot"/>
    <n v="320.10000000000002"/>
    <n v="360"/>
  </r>
  <r>
    <x v="702"/>
    <x v="248"/>
    <x v="4"/>
    <x v="0"/>
    <x v="3"/>
    <s v="HubSpot"/>
    <n v="373.92"/>
    <n v="360"/>
  </r>
  <r>
    <x v="703"/>
    <x v="233"/>
    <x v="4"/>
    <x v="0"/>
    <x v="3"/>
    <s v="Zoom"/>
    <n v="335.84"/>
    <n v="360"/>
  </r>
  <r>
    <x v="704"/>
    <x v="256"/>
    <x v="0"/>
    <x v="2"/>
    <x v="0"/>
    <s v="Xero Ltd"/>
    <n v="113305.8"/>
    <n v="90000"/>
  </r>
  <r>
    <x v="705"/>
    <x v="257"/>
    <x v="0"/>
    <x v="1"/>
    <x v="0"/>
    <s v="Xero Ltd"/>
    <n v="108289.15"/>
    <n v="90000"/>
  </r>
  <r>
    <x v="706"/>
    <x v="258"/>
    <x v="0"/>
    <x v="2"/>
    <x v="1"/>
    <s v="Payroll - Commissions"/>
    <n v="4764.07"/>
    <n v="4500"/>
  </r>
  <r>
    <x v="707"/>
    <x v="259"/>
    <x v="0"/>
    <x v="1"/>
    <x v="1"/>
    <s v="Payroll - Commissions"/>
    <n v="4702.88"/>
    <n v="4500"/>
  </r>
  <r>
    <x v="708"/>
    <x v="260"/>
    <x v="0"/>
    <x v="2"/>
    <x v="1"/>
    <s v="Payroll - Commissions"/>
    <n v="3640.19"/>
    <n v="4500"/>
  </r>
  <r>
    <x v="709"/>
    <x v="261"/>
    <x v="0"/>
    <x v="0"/>
    <x v="1"/>
    <s v="Payroll - Commissions"/>
    <n v="4214.9399999999996"/>
    <n v="4500"/>
  </r>
  <r>
    <x v="710"/>
    <x v="262"/>
    <x v="0"/>
    <x v="1"/>
    <x v="2"/>
    <s v="Hertz Rental"/>
    <n v="655.15"/>
    <n v="800"/>
  </r>
  <r>
    <x v="711"/>
    <x v="263"/>
    <x v="0"/>
    <x v="0"/>
    <x v="2"/>
    <s v="Qantas"/>
    <n v="794.67"/>
    <n v="800"/>
  </r>
  <r>
    <x v="712"/>
    <x v="260"/>
    <x v="0"/>
    <x v="1"/>
    <x v="2"/>
    <s v="Qantas"/>
    <n v="666.75"/>
    <n v="800"/>
  </r>
  <r>
    <x v="713"/>
    <x v="264"/>
    <x v="0"/>
    <x v="0"/>
    <x v="2"/>
    <s v="Ibis Hotels"/>
    <n v="725.83"/>
    <n v="800"/>
  </r>
  <r>
    <x v="714"/>
    <x v="265"/>
    <x v="0"/>
    <x v="0"/>
    <x v="2"/>
    <s v="Hertz Rental"/>
    <n v="946.21"/>
    <n v="800"/>
  </r>
  <r>
    <x v="715"/>
    <x v="263"/>
    <x v="0"/>
    <x v="0"/>
    <x v="3"/>
    <s v="Adobe"/>
    <n v="964.67"/>
    <n v="833.33"/>
  </r>
  <r>
    <x v="716"/>
    <x v="259"/>
    <x v="0"/>
    <x v="1"/>
    <x v="3"/>
    <s v="Zoom"/>
    <n v="831.24"/>
    <n v="833.33"/>
  </r>
  <r>
    <x v="717"/>
    <x v="264"/>
    <x v="0"/>
    <x v="2"/>
    <x v="3"/>
    <s v="Zoom"/>
    <n v="920.89"/>
    <n v="833.33"/>
  </r>
  <r>
    <x v="718"/>
    <x v="266"/>
    <x v="1"/>
    <x v="0"/>
    <x v="4"/>
    <s v="Google Ads"/>
    <n v="12048.15"/>
    <n v="11666.67"/>
  </r>
  <r>
    <x v="719"/>
    <x v="267"/>
    <x v="1"/>
    <x v="2"/>
    <x v="4"/>
    <s v="TVNZ"/>
    <n v="8940.7199999999993"/>
    <n v="11666.67"/>
  </r>
  <r>
    <x v="720"/>
    <x v="264"/>
    <x v="1"/>
    <x v="2"/>
    <x v="4"/>
    <s v="TVNZ"/>
    <n v="9731.2199999999993"/>
    <n v="11666.67"/>
  </r>
  <r>
    <x v="721"/>
    <x v="268"/>
    <x v="1"/>
    <x v="1"/>
    <x v="3"/>
    <s v="Microsoft 365"/>
    <n v="603.24"/>
    <n v="600"/>
  </r>
  <r>
    <x v="722"/>
    <x v="258"/>
    <x v="1"/>
    <x v="2"/>
    <x v="3"/>
    <s v="Slack"/>
    <n v="682.53"/>
    <n v="600"/>
  </r>
  <r>
    <x v="723"/>
    <x v="269"/>
    <x v="1"/>
    <x v="1"/>
    <x v="3"/>
    <s v="HubSpot"/>
    <n v="696.78"/>
    <n v="600"/>
  </r>
  <r>
    <x v="724"/>
    <x v="270"/>
    <x v="1"/>
    <x v="1"/>
    <x v="3"/>
    <s v="Zoom"/>
    <n v="582.41"/>
    <n v="600"/>
  </r>
  <r>
    <x v="725"/>
    <x v="256"/>
    <x v="1"/>
    <x v="0"/>
    <x v="3"/>
    <s v="HubSpot"/>
    <n v="670.8"/>
    <n v="600"/>
  </r>
  <r>
    <x v="726"/>
    <x v="269"/>
    <x v="1"/>
    <x v="2"/>
    <x v="2"/>
    <s v="Hertz Rental"/>
    <n v="989.5"/>
    <n v="833.33"/>
  </r>
  <r>
    <x v="727"/>
    <x v="258"/>
    <x v="1"/>
    <x v="2"/>
    <x v="2"/>
    <s v="Air New Zealand"/>
    <n v="770.24"/>
    <n v="833.33"/>
  </r>
  <r>
    <x v="728"/>
    <x v="257"/>
    <x v="1"/>
    <x v="2"/>
    <x v="2"/>
    <s v="Qantas"/>
    <n v="985.54"/>
    <n v="833.33"/>
  </r>
  <r>
    <x v="729"/>
    <x v="271"/>
    <x v="1"/>
    <x v="1"/>
    <x v="5"/>
    <s v="Recruitment Partners"/>
    <n v="2087.92"/>
    <n v="2000"/>
  </r>
  <r>
    <x v="730"/>
    <x v="272"/>
    <x v="1"/>
    <x v="1"/>
    <x v="5"/>
    <s v="PWC NZ"/>
    <n v="1928.17"/>
    <n v="2000"/>
  </r>
  <r>
    <x v="731"/>
    <x v="266"/>
    <x v="1"/>
    <x v="0"/>
    <x v="5"/>
    <s v="Deloitte NZ"/>
    <n v="2313.5300000000002"/>
    <n v="2000"/>
  </r>
  <r>
    <x v="732"/>
    <x v="263"/>
    <x v="2"/>
    <x v="1"/>
    <x v="6"/>
    <s v="Payroll - Salaries"/>
    <n v="21150.38"/>
    <n v="23750"/>
  </r>
  <r>
    <x v="733"/>
    <x v="260"/>
    <x v="2"/>
    <x v="2"/>
    <x v="6"/>
    <s v="Payroll - Salaries"/>
    <n v="29438.13"/>
    <n v="23750"/>
  </r>
  <r>
    <x v="734"/>
    <x v="273"/>
    <x v="2"/>
    <x v="1"/>
    <x v="6"/>
    <s v="Payroll - Salaries"/>
    <n v="20987.200000000001"/>
    <n v="23750"/>
  </r>
  <r>
    <x v="735"/>
    <x v="266"/>
    <x v="2"/>
    <x v="0"/>
    <x v="6"/>
    <s v="Payroll - Salaries"/>
    <n v="29245.42"/>
    <n v="23750"/>
  </r>
  <r>
    <x v="736"/>
    <x v="261"/>
    <x v="2"/>
    <x v="2"/>
    <x v="3"/>
    <s v="Atlassian"/>
    <n v="2662.93"/>
    <n v="2250"/>
  </r>
  <r>
    <x v="737"/>
    <x v="274"/>
    <x v="2"/>
    <x v="0"/>
    <x v="3"/>
    <s v="Slack"/>
    <n v="1968.39"/>
    <n v="2250"/>
  </r>
  <r>
    <x v="738"/>
    <x v="261"/>
    <x v="2"/>
    <x v="1"/>
    <x v="7"/>
    <s v="Google Cloud"/>
    <n v="3785.4"/>
    <n v="4000"/>
  </r>
  <r>
    <x v="739"/>
    <x v="275"/>
    <x v="2"/>
    <x v="1"/>
    <x v="7"/>
    <s v="Azure"/>
    <n v="3537.43"/>
    <n v="4000"/>
  </r>
  <r>
    <x v="740"/>
    <x v="266"/>
    <x v="2"/>
    <x v="2"/>
    <x v="7"/>
    <s v="AWS"/>
    <n v="3151.03"/>
    <n v="4000"/>
  </r>
  <r>
    <x v="741"/>
    <x v="274"/>
    <x v="2"/>
    <x v="1"/>
    <x v="5"/>
    <s v="KPMG NZ"/>
    <n v="1124.9000000000001"/>
    <n v="1000"/>
  </r>
  <r>
    <x v="742"/>
    <x v="276"/>
    <x v="2"/>
    <x v="2"/>
    <x v="5"/>
    <s v="Recruitment Partners"/>
    <n v="1225.1300000000001"/>
    <n v="1000"/>
  </r>
  <r>
    <x v="743"/>
    <x v="273"/>
    <x v="2"/>
    <x v="0"/>
    <x v="5"/>
    <s v="Deloitte NZ"/>
    <n v="1184.45"/>
    <n v="1000"/>
  </r>
  <r>
    <x v="744"/>
    <x v="256"/>
    <x v="2"/>
    <x v="1"/>
    <x v="5"/>
    <s v="KPMG NZ"/>
    <n v="1236.08"/>
    <n v="1000"/>
  </r>
  <r>
    <x v="745"/>
    <x v="262"/>
    <x v="2"/>
    <x v="0"/>
    <x v="5"/>
    <s v="PWC NZ"/>
    <n v="1147.8399999999999"/>
    <n v="1000"/>
  </r>
  <r>
    <x v="746"/>
    <x v="276"/>
    <x v="3"/>
    <x v="0"/>
    <x v="6"/>
    <s v="Payroll - Salaries"/>
    <n v="8377.7999999999993"/>
    <n v="8400"/>
  </r>
  <r>
    <x v="747"/>
    <x v="261"/>
    <x v="3"/>
    <x v="2"/>
    <x v="6"/>
    <s v="Payroll - Salaries"/>
    <n v="8598.7000000000007"/>
    <n v="8400"/>
  </r>
  <r>
    <x v="748"/>
    <x v="277"/>
    <x v="3"/>
    <x v="2"/>
    <x v="6"/>
    <s v="Payroll - Salaries"/>
    <n v="10055.450000000001"/>
    <n v="8400"/>
  </r>
  <r>
    <x v="749"/>
    <x v="266"/>
    <x v="3"/>
    <x v="0"/>
    <x v="6"/>
    <s v="Payroll - Salaries"/>
    <n v="6718.21"/>
    <n v="8400"/>
  </r>
  <r>
    <x v="750"/>
    <x v="273"/>
    <x v="3"/>
    <x v="0"/>
    <x v="6"/>
    <s v="Payroll - Salaries"/>
    <n v="6821.8"/>
    <n v="8400"/>
  </r>
  <r>
    <x v="751"/>
    <x v="275"/>
    <x v="3"/>
    <x v="2"/>
    <x v="8"/>
    <s v="Auckland CBD Landlord"/>
    <n v="2251.0100000000002"/>
    <n v="3000"/>
  </r>
  <r>
    <x v="752"/>
    <x v="256"/>
    <x v="3"/>
    <x v="1"/>
    <x v="8"/>
    <s v="Wellington Office Park"/>
    <n v="3614.11"/>
    <n v="3000"/>
  </r>
  <r>
    <x v="753"/>
    <x v="278"/>
    <x v="3"/>
    <x v="0"/>
    <x v="8"/>
    <s v="CBRE Property"/>
    <n v="3561.64"/>
    <n v="3000"/>
  </r>
  <r>
    <x v="754"/>
    <x v="279"/>
    <x v="3"/>
    <x v="1"/>
    <x v="8"/>
    <s v="Wellington Office Park"/>
    <n v="2790.65"/>
    <n v="3000"/>
  </r>
  <r>
    <x v="755"/>
    <x v="280"/>
    <x v="3"/>
    <x v="1"/>
    <x v="8"/>
    <s v="CBRE Property"/>
    <n v="3605.7"/>
    <n v="3000"/>
  </r>
  <r>
    <x v="756"/>
    <x v="274"/>
    <x v="3"/>
    <x v="1"/>
    <x v="3"/>
    <s v="HubSpot"/>
    <n v="361.1"/>
    <n v="400"/>
  </r>
  <r>
    <x v="757"/>
    <x v="279"/>
    <x v="3"/>
    <x v="0"/>
    <x v="3"/>
    <s v="Atlassian"/>
    <n v="385.85"/>
    <n v="400"/>
  </r>
  <r>
    <x v="758"/>
    <x v="281"/>
    <x v="3"/>
    <x v="0"/>
    <x v="3"/>
    <s v="Microsoft 365"/>
    <n v="300.22000000000003"/>
    <n v="400"/>
  </r>
  <r>
    <x v="759"/>
    <x v="282"/>
    <x v="3"/>
    <x v="0"/>
    <x v="3"/>
    <s v="Atlassian"/>
    <n v="418.74"/>
    <n v="400"/>
  </r>
  <r>
    <x v="760"/>
    <x v="274"/>
    <x v="3"/>
    <x v="2"/>
    <x v="3"/>
    <s v="Slack"/>
    <n v="301.86"/>
    <n v="400"/>
  </r>
  <r>
    <x v="761"/>
    <x v="281"/>
    <x v="3"/>
    <x v="2"/>
    <x v="5"/>
    <s v="Deloitte NZ"/>
    <n v="1919.78"/>
    <n v="1750"/>
  </r>
  <r>
    <x v="762"/>
    <x v="283"/>
    <x v="3"/>
    <x v="0"/>
    <x v="5"/>
    <s v="Deloitte NZ"/>
    <n v="1647.69"/>
    <n v="1750"/>
  </r>
  <r>
    <x v="763"/>
    <x v="260"/>
    <x v="4"/>
    <x v="1"/>
    <x v="6"/>
    <s v="Payroll - Salaries"/>
    <n v="17741.84"/>
    <n v="19000"/>
  </r>
  <r>
    <x v="764"/>
    <x v="277"/>
    <x v="4"/>
    <x v="1"/>
    <x v="6"/>
    <s v="Payroll - Salaries"/>
    <n v="21597.87"/>
    <n v="19000"/>
  </r>
  <r>
    <x v="765"/>
    <x v="265"/>
    <x v="4"/>
    <x v="0"/>
    <x v="8"/>
    <s v="Auckland CBD Landlord"/>
    <n v="2707.34"/>
    <n v="2666.67"/>
  </r>
  <r>
    <x v="766"/>
    <x v="270"/>
    <x v="4"/>
    <x v="1"/>
    <x v="8"/>
    <s v="Auckland CBD Landlord"/>
    <n v="2468.25"/>
    <n v="2666.67"/>
  </r>
  <r>
    <x v="767"/>
    <x v="264"/>
    <x v="4"/>
    <x v="1"/>
    <x v="8"/>
    <s v="Auckland CBD Landlord"/>
    <n v="2821.43"/>
    <n v="2666.67"/>
  </r>
  <r>
    <x v="768"/>
    <x v="257"/>
    <x v="4"/>
    <x v="0"/>
    <x v="5"/>
    <s v="Recruitment Partners"/>
    <n v="2870.02"/>
    <n v="3500"/>
  </r>
  <r>
    <x v="769"/>
    <x v="275"/>
    <x v="4"/>
    <x v="1"/>
    <x v="5"/>
    <s v="KPMG NZ"/>
    <n v="3240.19"/>
    <n v="3500"/>
  </r>
  <r>
    <x v="770"/>
    <x v="279"/>
    <x v="4"/>
    <x v="0"/>
    <x v="3"/>
    <s v="Salesforce"/>
    <n v="533.09"/>
    <n v="600"/>
  </r>
  <r>
    <x v="771"/>
    <x v="274"/>
    <x v="4"/>
    <x v="1"/>
    <x v="3"/>
    <s v="Microsoft 365"/>
    <n v="683.69"/>
    <n v="600"/>
  </r>
  <r>
    <x v="772"/>
    <x v="272"/>
    <x v="4"/>
    <x v="1"/>
    <x v="3"/>
    <s v="Adobe"/>
    <n v="511.63"/>
    <n v="600"/>
  </r>
  <r>
    <x v="773"/>
    <x v="284"/>
    <x v="0"/>
    <x v="1"/>
    <x v="0"/>
    <s v="Air NZ"/>
    <n v="84462.11"/>
    <n v="60000"/>
  </r>
  <r>
    <x v="774"/>
    <x v="285"/>
    <x v="0"/>
    <x v="2"/>
    <x v="0"/>
    <s v="Meridian Energy"/>
    <n v="69878.94"/>
    <n v="60000"/>
  </r>
  <r>
    <x v="775"/>
    <x v="286"/>
    <x v="0"/>
    <x v="1"/>
    <x v="0"/>
    <s v="Xero Ltd"/>
    <n v="61634.41"/>
    <n v="60000"/>
  </r>
  <r>
    <x v="776"/>
    <x v="287"/>
    <x v="0"/>
    <x v="2"/>
    <x v="1"/>
    <s v="Payroll - Commissions"/>
    <n v="7082.44"/>
    <n v="6000"/>
  </r>
  <r>
    <x v="777"/>
    <x v="288"/>
    <x v="0"/>
    <x v="2"/>
    <x v="1"/>
    <s v="Payroll - Commissions"/>
    <n v="6139.07"/>
    <n v="6000"/>
  </r>
  <r>
    <x v="778"/>
    <x v="289"/>
    <x v="0"/>
    <x v="0"/>
    <x v="1"/>
    <s v="Payroll - Commissions"/>
    <n v="4550.07"/>
    <n v="6000"/>
  </r>
  <r>
    <x v="779"/>
    <x v="290"/>
    <x v="0"/>
    <x v="0"/>
    <x v="2"/>
    <s v="Hertz Rental"/>
    <n v="769.91"/>
    <n v="1000"/>
  </r>
  <r>
    <x v="780"/>
    <x v="291"/>
    <x v="0"/>
    <x v="1"/>
    <x v="2"/>
    <s v="Ibis Hotels"/>
    <n v="893.24"/>
    <n v="1000"/>
  </r>
  <r>
    <x v="781"/>
    <x v="292"/>
    <x v="0"/>
    <x v="2"/>
    <x v="2"/>
    <s v="Air New Zealand"/>
    <n v="961.79"/>
    <n v="1000"/>
  </r>
  <r>
    <x v="782"/>
    <x v="293"/>
    <x v="0"/>
    <x v="1"/>
    <x v="2"/>
    <s v="Qantas"/>
    <n v="1018.28"/>
    <n v="1000"/>
  </r>
  <r>
    <x v="783"/>
    <x v="294"/>
    <x v="0"/>
    <x v="0"/>
    <x v="3"/>
    <s v="Salesforce"/>
    <n v="565.6"/>
    <n v="625"/>
  </r>
  <r>
    <x v="784"/>
    <x v="292"/>
    <x v="0"/>
    <x v="0"/>
    <x v="3"/>
    <s v="Adobe"/>
    <n v="636.37"/>
    <n v="625"/>
  </r>
  <r>
    <x v="785"/>
    <x v="285"/>
    <x v="0"/>
    <x v="1"/>
    <x v="3"/>
    <s v="Atlassian"/>
    <n v="707.26"/>
    <n v="625"/>
  </r>
  <r>
    <x v="786"/>
    <x v="291"/>
    <x v="0"/>
    <x v="1"/>
    <x v="3"/>
    <s v="Zoom"/>
    <n v="489.41"/>
    <n v="625"/>
  </r>
  <r>
    <x v="787"/>
    <x v="295"/>
    <x v="1"/>
    <x v="0"/>
    <x v="4"/>
    <s v="Meta Ads"/>
    <n v="10176.129999999999"/>
    <n v="11666.67"/>
  </r>
  <r>
    <x v="788"/>
    <x v="290"/>
    <x v="1"/>
    <x v="2"/>
    <x v="4"/>
    <s v="LinkedIn Ads"/>
    <n v="12321.73"/>
    <n v="11666.67"/>
  </r>
  <r>
    <x v="789"/>
    <x v="296"/>
    <x v="1"/>
    <x v="1"/>
    <x v="4"/>
    <s v="Google Ads"/>
    <n v="13076.55"/>
    <n v="11666.67"/>
  </r>
  <r>
    <x v="790"/>
    <x v="291"/>
    <x v="1"/>
    <x v="0"/>
    <x v="3"/>
    <s v="Microsoft 365"/>
    <n v="1655.93"/>
    <n v="1500"/>
  </r>
  <r>
    <x v="791"/>
    <x v="286"/>
    <x v="1"/>
    <x v="0"/>
    <x v="3"/>
    <s v="Adobe"/>
    <n v="1497.31"/>
    <n v="1500"/>
  </r>
  <r>
    <x v="792"/>
    <x v="296"/>
    <x v="1"/>
    <x v="0"/>
    <x v="2"/>
    <s v="Uber"/>
    <n v="584.96"/>
    <n v="625"/>
  </r>
  <r>
    <x v="793"/>
    <x v="297"/>
    <x v="1"/>
    <x v="1"/>
    <x v="2"/>
    <s v="Air New Zealand"/>
    <n v="745.75"/>
    <n v="625"/>
  </r>
  <r>
    <x v="794"/>
    <x v="298"/>
    <x v="1"/>
    <x v="2"/>
    <x v="2"/>
    <s v="Ibis Hotels"/>
    <n v="720.97"/>
    <n v="625"/>
  </r>
  <r>
    <x v="795"/>
    <x v="287"/>
    <x v="1"/>
    <x v="0"/>
    <x v="2"/>
    <s v="Air New Zealand"/>
    <n v="550.91999999999996"/>
    <n v="625"/>
  </r>
  <r>
    <x v="796"/>
    <x v="290"/>
    <x v="1"/>
    <x v="2"/>
    <x v="5"/>
    <s v="Legal Counsel Ltd"/>
    <n v="1206.47"/>
    <n v="1200"/>
  </r>
  <r>
    <x v="797"/>
    <x v="288"/>
    <x v="1"/>
    <x v="1"/>
    <x v="5"/>
    <s v="KPMG NZ"/>
    <n v="1000.13"/>
    <n v="1200"/>
  </r>
  <r>
    <x v="798"/>
    <x v="299"/>
    <x v="1"/>
    <x v="0"/>
    <x v="5"/>
    <s v="Deloitte NZ"/>
    <n v="1436.56"/>
    <n v="1200"/>
  </r>
  <r>
    <x v="799"/>
    <x v="300"/>
    <x v="1"/>
    <x v="0"/>
    <x v="5"/>
    <s v="Deloitte NZ"/>
    <n v="1344.47"/>
    <n v="1200"/>
  </r>
  <r>
    <x v="800"/>
    <x v="301"/>
    <x v="1"/>
    <x v="0"/>
    <x v="5"/>
    <s v="KPMG NZ"/>
    <n v="1046.73"/>
    <n v="1200"/>
  </r>
  <r>
    <x v="801"/>
    <x v="302"/>
    <x v="2"/>
    <x v="0"/>
    <x v="6"/>
    <s v="Payroll - Salaries"/>
    <n v="15950.13"/>
    <n v="19000"/>
  </r>
  <r>
    <x v="802"/>
    <x v="291"/>
    <x v="2"/>
    <x v="1"/>
    <x v="6"/>
    <s v="Payroll - Salaries"/>
    <n v="21879.599999999999"/>
    <n v="19000"/>
  </r>
  <r>
    <x v="803"/>
    <x v="295"/>
    <x v="2"/>
    <x v="0"/>
    <x v="6"/>
    <s v="Payroll - Salaries"/>
    <n v="17307.12"/>
    <n v="19000"/>
  </r>
  <r>
    <x v="804"/>
    <x v="287"/>
    <x v="2"/>
    <x v="2"/>
    <x v="6"/>
    <s v="Payroll - Salaries"/>
    <n v="22096.97"/>
    <n v="19000"/>
  </r>
  <r>
    <x v="805"/>
    <x v="290"/>
    <x v="2"/>
    <x v="0"/>
    <x v="6"/>
    <s v="Payroll - Salaries"/>
    <n v="19019.39"/>
    <n v="19000"/>
  </r>
  <r>
    <x v="806"/>
    <x v="292"/>
    <x v="2"/>
    <x v="1"/>
    <x v="3"/>
    <s v="Microsoft 365"/>
    <n v="1861.06"/>
    <n v="1500"/>
  </r>
  <r>
    <x v="807"/>
    <x v="297"/>
    <x v="2"/>
    <x v="2"/>
    <x v="3"/>
    <s v="HubSpot"/>
    <n v="1774.52"/>
    <n v="1500"/>
  </r>
  <r>
    <x v="808"/>
    <x v="303"/>
    <x v="2"/>
    <x v="2"/>
    <x v="3"/>
    <s v="Zoom"/>
    <n v="1370.48"/>
    <n v="1500"/>
  </r>
  <r>
    <x v="809"/>
    <x v="287"/>
    <x v="2"/>
    <x v="2"/>
    <x v="7"/>
    <s v="Azure"/>
    <n v="5102.01"/>
    <n v="6000"/>
  </r>
  <r>
    <x v="810"/>
    <x v="304"/>
    <x v="2"/>
    <x v="1"/>
    <x v="7"/>
    <s v="Azure"/>
    <n v="6368.15"/>
    <n v="6000"/>
  </r>
  <r>
    <x v="811"/>
    <x v="303"/>
    <x v="2"/>
    <x v="0"/>
    <x v="5"/>
    <s v="PWC NZ"/>
    <n v="1116.23"/>
    <n v="1000"/>
  </r>
  <r>
    <x v="812"/>
    <x v="295"/>
    <x v="2"/>
    <x v="0"/>
    <x v="5"/>
    <s v="Deloitte NZ"/>
    <n v="753.19"/>
    <n v="1000"/>
  </r>
  <r>
    <x v="813"/>
    <x v="285"/>
    <x v="2"/>
    <x v="0"/>
    <x v="5"/>
    <s v="Deloitte NZ"/>
    <n v="1020.77"/>
    <n v="1000"/>
  </r>
  <r>
    <x v="814"/>
    <x v="299"/>
    <x v="2"/>
    <x v="2"/>
    <x v="5"/>
    <s v="Legal Counsel Ltd"/>
    <n v="750.73"/>
    <n v="1000"/>
  </r>
  <r>
    <x v="815"/>
    <x v="305"/>
    <x v="2"/>
    <x v="1"/>
    <x v="5"/>
    <s v="PWC NZ"/>
    <n v="1113.6099999999999"/>
    <n v="1000"/>
  </r>
  <r>
    <x v="816"/>
    <x v="290"/>
    <x v="3"/>
    <x v="2"/>
    <x v="6"/>
    <s v="Payroll - Salaries"/>
    <n v="13944.2"/>
    <n v="14000"/>
  </r>
  <r>
    <x v="817"/>
    <x v="290"/>
    <x v="3"/>
    <x v="1"/>
    <x v="6"/>
    <s v="Payroll - Salaries"/>
    <n v="12458.78"/>
    <n v="14000"/>
  </r>
  <r>
    <x v="818"/>
    <x v="286"/>
    <x v="3"/>
    <x v="1"/>
    <x v="6"/>
    <s v="Payroll - Salaries"/>
    <n v="13391.4"/>
    <n v="14000"/>
  </r>
  <r>
    <x v="819"/>
    <x v="306"/>
    <x v="3"/>
    <x v="1"/>
    <x v="8"/>
    <s v="Cleaning Services Ltd"/>
    <n v="5983.41"/>
    <n v="7500"/>
  </r>
  <r>
    <x v="820"/>
    <x v="290"/>
    <x v="3"/>
    <x v="0"/>
    <x v="8"/>
    <s v="Cleaning Services Ltd"/>
    <n v="7844.61"/>
    <n v="7500"/>
  </r>
  <r>
    <x v="821"/>
    <x v="302"/>
    <x v="3"/>
    <x v="0"/>
    <x v="3"/>
    <s v="Slack"/>
    <n v="597.23"/>
    <n v="666.67"/>
  </r>
  <r>
    <x v="822"/>
    <x v="296"/>
    <x v="3"/>
    <x v="2"/>
    <x v="3"/>
    <s v="Slack"/>
    <n v="733.58"/>
    <n v="666.67"/>
  </r>
  <r>
    <x v="823"/>
    <x v="307"/>
    <x v="3"/>
    <x v="2"/>
    <x v="3"/>
    <s v="Microsoft 365"/>
    <n v="650.91999999999996"/>
    <n v="666.67"/>
  </r>
  <r>
    <x v="824"/>
    <x v="287"/>
    <x v="3"/>
    <x v="0"/>
    <x v="5"/>
    <s v="Deloitte NZ"/>
    <n v="1329.96"/>
    <n v="1166.67"/>
  </r>
  <r>
    <x v="825"/>
    <x v="304"/>
    <x v="3"/>
    <x v="0"/>
    <x v="5"/>
    <s v="Legal Counsel Ltd"/>
    <n v="936.63"/>
    <n v="1166.67"/>
  </r>
  <r>
    <x v="826"/>
    <x v="303"/>
    <x v="3"/>
    <x v="2"/>
    <x v="5"/>
    <s v="KPMG NZ"/>
    <n v="1112.1300000000001"/>
    <n v="1166.67"/>
  </r>
  <r>
    <x v="827"/>
    <x v="298"/>
    <x v="4"/>
    <x v="1"/>
    <x v="6"/>
    <s v="Payroll - Salaries"/>
    <n v="11452.62"/>
    <n v="12666.67"/>
  </r>
  <r>
    <x v="828"/>
    <x v="299"/>
    <x v="4"/>
    <x v="0"/>
    <x v="6"/>
    <s v="Payroll - Salaries"/>
    <n v="10498.23"/>
    <n v="12666.67"/>
  </r>
  <r>
    <x v="829"/>
    <x v="302"/>
    <x v="4"/>
    <x v="0"/>
    <x v="6"/>
    <s v="Payroll - Salaries"/>
    <n v="10861.8"/>
    <n v="12666.67"/>
  </r>
  <r>
    <x v="830"/>
    <x v="286"/>
    <x v="4"/>
    <x v="0"/>
    <x v="8"/>
    <s v="Cleaning Services Ltd"/>
    <n v="2948.21"/>
    <n v="2666.67"/>
  </r>
  <r>
    <x v="831"/>
    <x v="298"/>
    <x v="4"/>
    <x v="0"/>
    <x v="8"/>
    <s v="Auckland CBD Landlord"/>
    <n v="2902.91"/>
    <n v="2666.67"/>
  </r>
  <r>
    <x v="832"/>
    <x v="302"/>
    <x v="4"/>
    <x v="0"/>
    <x v="8"/>
    <s v="Cleaning Services Ltd"/>
    <n v="3269.46"/>
    <n v="2666.67"/>
  </r>
  <r>
    <x v="833"/>
    <x v="284"/>
    <x v="4"/>
    <x v="0"/>
    <x v="5"/>
    <s v="PWC NZ"/>
    <n v="2289.0500000000002"/>
    <n v="2333.33"/>
  </r>
  <r>
    <x v="834"/>
    <x v="308"/>
    <x v="4"/>
    <x v="0"/>
    <x v="5"/>
    <s v="PWC NZ"/>
    <n v="1763.95"/>
    <n v="2333.33"/>
  </r>
  <r>
    <x v="835"/>
    <x v="292"/>
    <x v="4"/>
    <x v="0"/>
    <x v="5"/>
    <s v="KPMG NZ"/>
    <n v="1981.16"/>
    <n v="2333.33"/>
  </r>
  <r>
    <x v="836"/>
    <x v="289"/>
    <x v="4"/>
    <x v="1"/>
    <x v="3"/>
    <s v="Microsoft 365"/>
    <n v="1087.8399999999999"/>
    <n v="900"/>
  </r>
  <r>
    <x v="837"/>
    <x v="285"/>
    <x v="4"/>
    <x v="0"/>
    <x v="3"/>
    <s v="Zoom"/>
    <n v="763.99"/>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B6EAD-0735-DA41-811C-3F2343D9B3B3}" name="PivotTable1" cacheId="1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3:E69" firstHeaderRow="0" firstDataRow="1" firstDataCol="1" rowPageCount="1" colPageCount="1"/>
  <pivotFields count="14">
    <pivotField showAll="0">
      <items count="8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t="default"/>
      </items>
    </pivotField>
    <pivotField axis="axisRow" numFmtId="164" showAll="0">
      <items count="310">
        <item x="23"/>
        <item x="16"/>
        <item x="24"/>
        <item x="0"/>
        <item x="14"/>
        <item x="12"/>
        <item x="2"/>
        <item x="17"/>
        <item x="19"/>
        <item x="5"/>
        <item x="7"/>
        <item x="8"/>
        <item x="25"/>
        <item x="15"/>
        <item x="21"/>
        <item x="18"/>
        <item x="1"/>
        <item x="22"/>
        <item x="3"/>
        <item x="13"/>
        <item x="9"/>
        <item x="20"/>
        <item x="6"/>
        <item x="4"/>
        <item x="11"/>
        <item x="10"/>
        <item x="27"/>
        <item x="42"/>
        <item x="40"/>
        <item x="44"/>
        <item x="29"/>
        <item x="49"/>
        <item x="37"/>
        <item x="36"/>
        <item x="50"/>
        <item x="43"/>
        <item x="30"/>
        <item x="48"/>
        <item x="46"/>
        <item x="28"/>
        <item x="47"/>
        <item x="38"/>
        <item x="32"/>
        <item x="31"/>
        <item x="34"/>
        <item x="33"/>
        <item x="41"/>
        <item x="35"/>
        <item x="26"/>
        <item x="39"/>
        <item x="45"/>
        <item x="55"/>
        <item x="72"/>
        <item x="65"/>
        <item x="53"/>
        <item x="64"/>
        <item x="68"/>
        <item x="58"/>
        <item x="66"/>
        <item x="52"/>
        <item x="63"/>
        <item x="54"/>
        <item x="73"/>
        <item x="51"/>
        <item x="70"/>
        <item x="67"/>
        <item x="57"/>
        <item x="60"/>
        <item x="59"/>
        <item x="61"/>
        <item x="71"/>
        <item x="69"/>
        <item x="62"/>
        <item x="74"/>
        <item x="56"/>
        <item x="88"/>
        <item x="79"/>
        <item x="96"/>
        <item x="93"/>
        <item x="82"/>
        <item x="100"/>
        <item x="89"/>
        <item x="85"/>
        <item x="83"/>
        <item x="95"/>
        <item x="98"/>
        <item x="92"/>
        <item x="78"/>
        <item x="77"/>
        <item x="91"/>
        <item x="84"/>
        <item x="80"/>
        <item x="87"/>
        <item x="90"/>
        <item x="99"/>
        <item x="76"/>
        <item x="75"/>
        <item x="81"/>
        <item x="97"/>
        <item x="86"/>
        <item x="94"/>
        <item x="120"/>
        <item x="113"/>
        <item x="123"/>
        <item x="107"/>
        <item x="106"/>
        <item x="116"/>
        <item x="112"/>
        <item x="103"/>
        <item x="102"/>
        <item x="126"/>
        <item x="104"/>
        <item x="124"/>
        <item x="121"/>
        <item x="110"/>
        <item x="117"/>
        <item x="101"/>
        <item x="122"/>
        <item x="118"/>
        <item x="109"/>
        <item x="111"/>
        <item x="105"/>
        <item x="108"/>
        <item x="125"/>
        <item x="115"/>
        <item x="114"/>
        <item x="119"/>
        <item x="134"/>
        <item x="146"/>
        <item x="132"/>
        <item x="136"/>
        <item x="141"/>
        <item x="129"/>
        <item x="127"/>
        <item x="137"/>
        <item x="151"/>
        <item x="128"/>
        <item x="143"/>
        <item x="145"/>
        <item x="133"/>
        <item x="150"/>
        <item x="144"/>
        <item x="152"/>
        <item x="130"/>
        <item x="142"/>
        <item x="149"/>
        <item x="138"/>
        <item x="148"/>
        <item x="135"/>
        <item x="131"/>
        <item x="139"/>
        <item x="147"/>
        <item x="140"/>
        <item x="175"/>
        <item x="163"/>
        <item x="154"/>
        <item x="155"/>
        <item x="158"/>
        <item x="164"/>
        <item x="162"/>
        <item x="170"/>
        <item x="161"/>
        <item x="173"/>
        <item x="171"/>
        <item x="153"/>
        <item x="168"/>
        <item x="159"/>
        <item x="174"/>
        <item x="176"/>
        <item x="156"/>
        <item x="172"/>
        <item x="178"/>
        <item x="169"/>
        <item x="167"/>
        <item x="165"/>
        <item x="157"/>
        <item x="160"/>
        <item x="166"/>
        <item x="177"/>
        <item x="179"/>
        <item x="203"/>
        <item x="184"/>
        <item x="204"/>
        <item x="195"/>
        <item x="186"/>
        <item x="193"/>
        <item x="196"/>
        <item x="197"/>
        <item x="185"/>
        <item x="182"/>
        <item x="201"/>
        <item x="181"/>
        <item x="205"/>
        <item x="187"/>
        <item x="188"/>
        <item x="199"/>
        <item x="191"/>
        <item x="202"/>
        <item x="192"/>
        <item x="180"/>
        <item x="198"/>
        <item x="189"/>
        <item x="183"/>
        <item x="200"/>
        <item x="190"/>
        <item x="194"/>
        <item x="219"/>
        <item x="218"/>
        <item x="211"/>
        <item x="226"/>
        <item x="208"/>
        <item x="217"/>
        <item x="210"/>
        <item x="221"/>
        <item x="229"/>
        <item x="214"/>
        <item x="212"/>
        <item x="224"/>
        <item x="209"/>
        <item x="207"/>
        <item x="228"/>
        <item x="223"/>
        <item x="222"/>
        <item x="220"/>
        <item x="225"/>
        <item x="213"/>
        <item x="227"/>
        <item x="216"/>
        <item x="215"/>
        <item x="230"/>
        <item x="206"/>
        <item x="246"/>
        <item x="234"/>
        <item x="244"/>
        <item x="235"/>
        <item x="255"/>
        <item x="233"/>
        <item x="232"/>
        <item x="243"/>
        <item x="242"/>
        <item x="236"/>
        <item x="250"/>
        <item x="247"/>
        <item x="251"/>
        <item x="254"/>
        <item x="253"/>
        <item x="245"/>
        <item x="231"/>
        <item x="238"/>
        <item x="252"/>
        <item x="239"/>
        <item x="241"/>
        <item x="249"/>
        <item x="240"/>
        <item x="248"/>
        <item x="237"/>
        <item x="265"/>
        <item x="269"/>
        <item x="279"/>
        <item x="257"/>
        <item x="261"/>
        <item x="280"/>
        <item x="270"/>
        <item x="267"/>
        <item x="278"/>
        <item x="260"/>
        <item x="276"/>
        <item x="271"/>
        <item x="262"/>
        <item x="275"/>
        <item x="264"/>
        <item x="281"/>
        <item x="282"/>
        <item x="263"/>
        <item x="268"/>
        <item x="272"/>
        <item x="256"/>
        <item x="259"/>
        <item x="274"/>
        <item x="283"/>
        <item x="277"/>
        <item x="266"/>
        <item x="258"/>
        <item x="273"/>
        <item x="300"/>
        <item x="290"/>
        <item x="289"/>
        <item x="305"/>
        <item x="306"/>
        <item x="288"/>
        <item x="307"/>
        <item x="298"/>
        <item x="286"/>
        <item x="292"/>
        <item x="295"/>
        <item x="304"/>
        <item x="301"/>
        <item x="294"/>
        <item x="303"/>
        <item x="287"/>
        <item x="293"/>
        <item x="285"/>
        <item x="299"/>
        <item x="291"/>
        <item x="296"/>
        <item x="297"/>
        <item x="284"/>
        <item x="308"/>
        <item x="302"/>
        <item t="default"/>
      </items>
    </pivotField>
    <pivotField axis="axisRow" showAll="0">
      <items count="6">
        <item x="2"/>
        <item x="4"/>
        <item x="1"/>
        <item x="3"/>
        <item x="0"/>
        <item t="default"/>
      </items>
    </pivotField>
    <pivotField axis="axisPage" showAll="0">
      <items count="4">
        <item x="2"/>
        <item x="1"/>
        <item x="0"/>
        <item t="default"/>
      </items>
    </pivotField>
    <pivotField axis="axisRow" showAll="0">
      <items count="10">
        <item x="7"/>
        <item x="8"/>
        <item x="4"/>
        <item x="5"/>
        <item x="0"/>
        <item x="6"/>
        <item x="1"/>
        <item x="3"/>
        <item x="2"/>
        <item t="default"/>
      </items>
    </pivotField>
    <pivotField showAll="0"/>
    <pivotField dataField="1" numFmtId="165" showAll="0"/>
    <pivotField dataField="1"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5">
    <field x="2"/>
    <field x="9"/>
    <field x="8"/>
    <field x="4"/>
    <field x="1"/>
  </rowFields>
  <rowItems count="66">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4">
    <i>
      <x/>
    </i>
    <i i="1">
      <x v="1"/>
    </i>
    <i i="2">
      <x v="2"/>
    </i>
    <i i="3">
      <x v="3"/>
    </i>
  </colItems>
  <pageFields count="1">
    <pageField fld="3" hier="-1"/>
  </pageFields>
  <dataFields count="4">
    <dataField name="Sum of Actual Amount (NZD)" fld="6" baseField="0" baseItem="0" numFmtId="165"/>
    <dataField name="Sum of Budget Amount (NZD)" fld="7" baseField="0" baseItem="0" numFmtId="165"/>
    <dataField name="Sum of Variance" fld="10" baseField="0" baseItem="0" numFmtId="165"/>
    <dataField name="Sum of Variance %" fld="11" baseField="0" baseItem="0" numFmtId="167"/>
  </dataFields>
  <formats count="1">
    <format dxfId="1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032FE-2669-8447-8E90-99B4B3F2786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9" firstHeaderRow="0" firstDataRow="1" firstDataCol="1"/>
  <pivotFields count="14">
    <pivotField showAll="0"/>
    <pivotField numFmtId="164" showAll="0">
      <items count="310">
        <item x="23"/>
        <item x="16"/>
        <item x="24"/>
        <item x="0"/>
        <item x="14"/>
        <item x="12"/>
        <item x="2"/>
        <item x="17"/>
        <item x="19"/>
        <item x="5"/>
        <item x="7"/>
        <item x="8"/>
        <item x="25"/>
        <item x="15"/>
        <item x="21"/>
        <item x="18"/>
        <item x="1"/>
        <item x="22"/>
        <item x="3"/>
        <item x="13"/>
        <item x="9"/>
        <item x="20"/>
        <item x="6"/>
        <item x="4"/>
        <item x="11"/>
        <item x="10"/>
        <item x="27"/>
        <item x="42"/>
        <item x="40"/>
        <item x="44"/>
        <item x="29"/>
        <item x="49"/>
        <item x="37"/>
        <item x="36"/>
        <item x="50"/>
        <item x="43"/>
        <item x="30"/>
        <item x="48"/>
        <item x="46"/>
        <item x="28"/>
        <item x="47"/>
        <item x="38"/>
        <item x="32"/>
        <item x="31"/>
        <item x="34"/>
        <item x="33"/>
        <item x="41"/>
        <item x="35"/>
        <item x="26"/>
        <item x="39"/>
        <item x="45"/>
        <item x="55"/>
        <item x="72"/>
        <item x="65"/>
        <item x="53"/>
        <item x="64"/>
        <item x="68"/>
        <item x="58"/>
        <item x="66"/>
        <item x="52"/>
        <item x="63"/>
        <item x="54"/>
        <item x="73"/>
        <item x="51"/>
        <item x="70"/>
        <item x="67"/>
        <item x="57"/>
        <item x="60"/>
        <item x="59"/>
        <item x="61"/>
        <item x="71"/>
        <item x="69"/>
        <item x="62"/>
        <item x="74"/>
        <item x="56"/>
        <item x="88"/>
        <item x="79"/>
        <item x="96"/>
        <item x="93"/>
        <item x="82"/>
        <item x="100"/>
        <item x="89"/>
        <item x="85"/>
        <item x="83"/>
        <item x="95"/>
        <item x="98"/>
        <item x="92"/>
        <item x="78"/>
        <item x="77"/>
        <item x="91"/>
        <item x="84"/>
        <item x="80"/>
        <item x="87"/>
        <item x="90"/>
        <item x="99"/>
        <item x="76"/>
        <item x="75"/>
        <item x="81"/>
        <item x="97"/>
        <item x="86"/>
        <item x="94"/>
        <item x="120"/>
        <item x="113"/>
        <item x="123"/>
        <item x="107"/>
        <item x="106"/>
        <item x="116"/>
        <item x="112"/>
        <item x="103"/>
        <item x="102"/>
        <item x="126"/>
        <item x="104"/>
        <item x="124"/>
        <item x="121"/>
        <item x="110"/>
        <item x="117"/>
        <item x="101"/>
        <item x="122"/>
        <item x="118"/>
        <item x="109"/>
        <item x="111"/>
        <item x="105"/>
        <item x="108"/>
        <item x="125"/>
        <item x="115"/>
        <item x="114"/>
        <item x="119"/>
        <item x="134"/>
        <item x="146"/>
        <item x="132"/>
        <item x="136"/>
        <item x="141"/>
        <item x="129"/>
        <item x="127"/>
        <item x="137"/>
        <item x="151"/>
        <item x="128"/>
        <item x="143"/>
        <item x="145"/>
        <item x="133"/>
        <item x="150"/>
        <item x="144"/>
        <item x="152"/>
        <item x="130"/>
        <item x="142"/>
        <item x="149"/>
        <item x="138"/>
        <item x="148"/>
        <item x="135"/>
        <item x="131"/>
        <item x="139"/>
        <item x="147"/>
        <item x="140"/>
        <item x="175"/>
        <item x="163"/>
        <item x="154"/>
        <item x="155"/>
        <item x="158"/>
        <item x="164"/>
        <item x="162"/>
        <item x="170"/>
        <item x="161"/>
        <item x="173"/>
        <item x="171"/>
        <item x="153"/>
        <item x="168"/>
        <item x="159"/>
        <item x="174"/>
        <item x="176"/>
        <item x="156"/>
        <item x="172"/>
        <item x="178"/>
        <item x="169"/>
        <item x="167"/>
        <item x="165"/>
        <item x="157"/>
        <item x="160"/>
        <item x="166"/>
        <item x="177"/>
        <item x="179"/>
        <item x="203"/>
        <item x="184"/>
        <item x="204"/>
        <item x="195"/>
        <item x="186"/>
        <item x="193"/>
        <item x="196"/>
        <item x="197"/>
        <item x="185"/>
        <item x="182"/>
        <item x="201"/>
        <item x="181"/>
        <item x="205"/>
        <item x="187"/>
        <item x="188"/>
        <item x="199"/>
        <item x="191"/>
        <item x="202"/>
        <item x="192"/>
        <item x="180"/>
        <item x="198"/>
        <item x="189"/>
        <item x="183"/>
        <item x="200"/>
        <item x="190"/>
        <item x="194"/>
        <item x="219"/>
        <item x="218"/>
        <item x="211"/>
        <item x="226"/>
        <item x="208"/>
        <item x="217"/>
        <item x="210"/>
        <item x="221"/>
        <item x="229"/>
        <item x="214"/>
        <item x="212"/>
        <item x="224"/>
        <item x="209"/>
        <item x="207"/>
        <item x="228"/>
        <item x="223"/>
        <item x="222"/>
        <item x="220"/>
        <item x="225"/>
        <item x="213"/>
        <item x="227"/>
        <item x="216"/>
        <item x="215"/>
        <item x="230"/>
        <item x="206"/>
        <item x="246"/>
        <item x="234"/>
        <item x="244"/>
        <item x="235"/>
        <item x="255"/>
        <item x="233"/>
        <item x="232"/>
        <item x="243"/>
        <item x="242"/>
        <item x="236"/>
        <item x="250"/>
        <item x="247"/>
        <item x="251"/>
        <item x="254"/>
        <item x="253"/>
        <item x="245"/>
        <item x="231"/>
        <item x="238"/>
        <item x="252"/>
        <item x="239"/>
        <item x="241"/>
        <item x="249"/>
        <item x="240"/>
        <item x="248"/>
        <item x="237"/>
        <item x="265"/>
        <item x="269"/>
        <item x="279"/>
        <item x="257"/>
        <item x="261"/>
        <item x="280"/>
        <item x="270"/>
        <item x="267"/>
        <item x="278"/>
        <item x="260"/>
        <item x="276"/>
        <item x="271"/>
        <item x="262"/>
        <item x="275"/>
        <item x="264"/>
        <item x="281"/>
        <item x="282"/>
        <item x="263"/>
        <item x="268"/>
        <item x="272"/>
        <item x="256"/>
        <item x="259"/>
        <item x="274"/>
        <item x="283"/>
        <item x="277"/>
        <item x="266"/>
        <item x="258"/>
        <item x="273"/>
        <item x="300"/>
        <item x="290"/>
        <item x="289"/>
        <item x="305"/>
        <item x="306"/>
        <item x="288"/>
        <item x="307"/>
        <item x="298"/>
        <item x="286"/>
        <item x="292"/>
        <item x="295"/>
        <item x="304"/>
        <item x="301"/>
        <item x="294"/>
        <item x="303"/>
        <item x="287"/>
        <item x="293"/>
        <item x="285"/>
        <item x="299"/>
        <item x="291"/>
        <item x="296"/>
        <item x="297"/>
        <item x="284"/>
        <item x="308"/>
        <item x="302"/>
        <item t="default"/>
      </items>
    </pivotField>
    <pivotField axis="axisRow" showAll="0">
      <items count="6">
        <item x="2"/>
        <item x="4"/>
        <item x="1"/>
        <item x="3"/>
        <item x="0"/>
        <item t="default"/>
      </items>
    </pivotField>
    <pivotField showAll="0"/>
    <pivotField axis="axisRow" showAll="0">
      <items count="10">
        <item x="7"/>
        <item x="8"/>
        <item x="4"/>
        <item x="5"/>
        <item x="0"/>
        <item x="6"/>
        <item x="1"/>
        <item x="3"/>
        <item x="2"/>
        <item t="default"/>
      </items>
    </pivotField>
    <pivotField showAll="0"/>
    <pivotField dataField="1"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2">
    <field x="2"/>
    <field x="4"/>
  </rowFields>
  <rowItems count="26">
    <i>
      <x/>
    </i>
    <i r="1">
      <x/>
    </i>
    <i r="1">
      <x v="3"/>
    </i>
    <i r="1">
      <x v="5"/>
    </i>
    <i r="1">
      <x v="7"/>
    </i>
    <i>
      <x v="1"/>
    </i>
    <i r="1">
      <x v="1"/>
    </i>
    <i r="1">
      <x v="3"/>
    </i>
    <i r="1">
      <x v="5"/>
    </i>
    <i r="1">
      <x v="7"/>
    </i>
    <i>
      <x v="2"/>
    </i>
    <i r="1">
      <x v="2"/>
    </i>
    <i r="1">
      <x v="3"/>
    </i>
    <i r="1">
      <x v="7"/>
    </i>
    <i r="1">
      <x v="8"/>
    </i>
    <i>
      <x v="3"/>
    </i>
    <i r="1">
      <x v="1"/>
    </i>
    <i r="1">
      <x v="3"/>
    </i>
    <i r="1">
      <x v="5"/>
    </i>
    <i r="1">
      <x v="7"/>
    </i>
    <i>
      <x v="4"/>
    </i>
    <i r="1">
      <x v="4"/>
    </i>
    <i r="1">
      <x v="6"/>
    </i>
    <i r="1">
      <x v="7"/>
    </i>
    <i r="1">
      <x v="8"/>
    </i>
    <i t="grand">
      <x/>
    </i>
  </rowItems>
  <colFields count="1">
    <field x="-2"/>
  </colFields>
  <colItems count="5">
    <i>
      <x/>
    </i>
    <i i="1">
      <x v="1"/>
    </i>
    <i i="2">
      <x v="2"/>
    </i>
    <i i="3">
      <x v="3"/>
    </i>
    <i i="4">
      <x v="4"/>
    </i>
  </colItems>
  <dataFields count="5">
    <dataField name="Sum of Actual Amount (NZD)" fld="6" baseField="0" baseItem="0" numFmtId="165"/>
    <dataField name="Sum of Budget Amount (NZD)" fld="7" baseField="0" baseItem="0" numFmtId="165"/>
    <dataField name="Variance Budget" fld="12" baseField="0" baseItem="0" numFmtId="165"/>
    <dataField name="Sum of Variance % Budget" fld="13" baseField="0" baseItem="0" numFmtId="167"/>
    <dataField name="% of Total Spend" fld="6" showDataAs="percentOfTotal" baseField="0" baseItem="0" numFmtId="10"/>
  </dataFields>
  <formats count="2">
    <format dxfId="9">
      <pivotArea outline="0" collapsedLevelsAreSubtotals="1" fieldPosition="0">
        <references count="1">
          <reference field="4294967294" count="1" selected="0">
            <x v="3"/>
          </reference>
        </references>
      </pivotArea>
    </format>
    <format dxfId="2">
      <pivotArea outline="0" fieldPosition="0">
        <references count="1">
          <reference field="4294967294" count="1">
            <x v="4"/>
          </reference>
        </references>
      </pivotArea>
    </format>
  </formats>
  <conditionalFormats count="4">
    <conditionalFormat priority="4">
      <pivotAreas count="5">
        <pivotArea type="data" collapsedLevelsAreSubtotals="1" fieldPosition="0">
          <references count="3">
            <reference field="4294967294" count="1" selected="0">
              <x v="2"/>
            </reference>
            <reference field="2" count="1" selected="0">
              <x v="0"/>
            </reference>
            <reference field="4" count="4">
              <x v="0"/>
              <x v="3"/>
              <x v="5"/>
              <x v="7"/>
            </reference>
          </references>
        </pivotArea>
        <pivotArea type="data" collapsedLevelsAreSubtotals="1" fieldPosition="0">
          <references count="3">
            <reference field="4294967294" count="1" selected="0">
              <x v="2"/>
            </reference>
            <reference field="2" count="1" selected="0">
              <x v="1"/>
            </reference>
            <reference field="4" count="4">
              <x v="1"/>
              <x v="3"/>
              <x v="5"/>
              <x v="7"/>
            </reference>
          </references>
        </pivotArea>
        <pivotArea type="data" collapsedLevelsAreSubtotals="1" fieldPosition="0">
          <references count="3">
            <reference field="4294967294" count="1" selected="0">
              <x v="2"/>
            </reference>
            <reference field="2" count="1" selected="0">
              <x v="2"/>
            </reference>
            <reference field="4" count="4">
              <x v="2"/>
              <x v="3"/>
              <x v="7"/>
              <x v="8"/>
            </reference>
          </references>
        </pivotArea>
        <pivotArea type="data" collapsedLevelsAreSubtotals="1" fieldPosition="0">
          <references count="3">
            <reference field="4294967294" count="1" selected="0">
              <x v="2"/>
            </reference>
            <reference field="2" count="1" selected="0">
              <x v="3"/>
            </reference>
            <reference field="4" count="4">
              <x v="1"/>
              <x v="3"/>
              <x v="5"/>
              <x v="7"/>
            </reference>
          </references>
        </pivotArea>
        <pivotArea type="data" collapsedLevelsAreSubtotals="1" fieldPosition="0">
          <references count="3">
            <reference field="4294967294" count="1" selected="0">
              <x v="2"/>
            </reference>
            <reference field="2" count="1" selected="0">
              <x v="4"/>
            </reference>
            <reference field="4" count="3">
              <x v="6"/>
              <x v="7"/>
              <x v="8"/>
            </reference>
          </references>
        </pivotArea>
      </pivotAreas>
    </conditionalFormat>
    <conditionalFormat priority="3">
      <pivotAreas count="5">
        <pivotArea type="data" collapsedLevelsAreSubtotals="1" fieldPosition="0">
          <references count="3">
            <reference field="4294967294" count="1" selected="0">
              <x v="2"/>
            </reference>
            <reference field="2" count="1" selected="0">
              <x v="0"/>
            </reference>
            <reference field="4" count="4">
              <x v="0"/>
              <x v="3"/>
              <x v="5"/>
              <x v="7"/>
            </reference>
          </references>
        </pivotArea>
        <pivotArea type="data" collapsedLevelsAreSubtotals="1" fieldPosition="0">
          <references count="3">
            <reference field="4294967294" count="1" selected="0">
              <x v="2"/>
            </reference>
            <reference field="2" count="1" selected="0">
              <x v="1"/>
            </reference>
            <reference field="4" count="4">
              <x v="1"/>
              <x v="3"/>
              <x v="5"/>
              <x v="7"/>
            </reference>
          </references>
        </pivotArea>
        <pivotArea type="data" collapsedLevelsAreSubtotals="1" fieldPosition="0">
          <references count="3">
            <reference field="4294967294" count="1" selected="0">
              <x v="2"/>
            </reference>
            <reference field="2" count="1" selected="0">
              <x v="2"/>
            </reference>
            <reference field="4" count="4">
              <x v="2"/>
              <x v="3"/>
              <x v="7"/>
              <x v="8"/>
            </reference>
          </references>
        </pivotArea>
        <pivotArea type="data" collapsedLevelsAreSubtotals="1" fieldPosition="0">
          <references count="3">
            <reference field="4294967294" count="1" selected="0">
              <x v="2"/>
            </reference>
            <reference field="2" count="1" selected="0">
              <x v="3"/>
            </reference>
            <reference field="4" count="4">
              <x v="1"/>
              <x v="3"/>
              <x v="5"/>
              <x v="7"/>
            </reference>
          </references>
        </pivotArea>
        <pivotArea type="data" collapsedLevelsAreSubtotals="1" fieldPosition="0">
          <references count="3">
            <reference field="4294967294" count="1" selected="0">
              <x v="2"/>
            </reference>
            <reference field="2" count="1" selected="0">
              <x v="4"/>
            </reference>
            <reference field="4" count="3">
              <x v="6"/>
              <x v="7"/>
              <x v="8"/>
            </reference>
          </references>
        </pivotArea>
      </pivotAreas>
    </conditionalFormat>
    <conditionalFormat priority="2">
      <pivotAreas count="1">
        <pivotArea type="data" collapsedLevelsAreSubtotals="1" fieldPosition="0">
          <references count="3">
            <reference field="4294967294" count="1" selected="0">
              <x v="2"/>
            </reference>
            <reference field="2" count="1" selected="0">
              <x v="4"/>
            </reference>
            <reference field="4" count="1">
              <x v="4"/>
            </reference>
          </references>
        </pivotArea>
      </pivotAreas>
    </conditionalFormat>
    <conditionalFormat priority="1">
      <pivotAreas count="1">
        <pivotArea type="data" collapsedLevelsAreSubtotals="1" fieldPosition="0">
          <references count="3">
            <reference field="4294967294" count="1" selected="0">
              <x v="2"/>
            </reference>
            <reference field="2" count="1" selected="0">
              <x v="4"/>
            </reference>
            <reference field="4" count="1">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E62391-930A-664A-AE7A-E02E3BD7C407}" sourceName="Department">
  <pivotTables>
    <pivotTable tabId="2" name="PivotTable1"/>
  </pivotTables>
  <data>
    <tabular pivotCacheId="1328374672">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FE98841-43A2-324D-BFFB-815F4DE4D618}" cache="Slicer_Department" caption="Department" rowHeight="230716"/>
  <slicer name="Department 1" xr10:uid="{96797CEE-2333-8C40-B440-8FCCE31C7687}"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actionData" displayName="TransactionData" ref="A1:H839" totalsRowShown="0">
  <autoFilter ref="A1:H839" xr:uid="{00000000-0009-0000-0100-000001000000}"/>
  <tableColumns count="8">
    <tableColumn id="1" xr3:uid="{00000000-0010-0000-0000-000001000000}" name="Transaction ID"/>
    <tableColumn id="2" xr3:uid="{00000000-0010-0000-0000-000002000000}" name="Date"/>
    <tableColumn id="3" xr3:uid="{00000000-0010-0000-0000-000003000000}" name="Department"/>
    <tableColumn id="4" xr3:uid="{00000000-0010-0000-0000-000004000000}" name="Region"/>
    <tableColumn id="5" xr3:uid="{00000000-0010-0000-0000-000005000000}" name="Account Category"/>
    <tableColumn id="6" xr3:uid="{00000000-0010-0000-0000-000006000000}" name="Vendor/Customer"/>
    <tableColumn id="7" xr3:uid="{00000000-0010-0000-0000-000007000000}" name="Actual Amount (NZD)"/>
    <tableColumn id="8" xr3:uid="{00000000-0010-0000-0000-000008000000}" name="Budget Amount (NZ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239B-F910-FB49-ADCB-98C6F21B7A62}">
  <dimension ref="A1:E69"/>
  <sheetViews>
    <sheetView tabSelected="1" workbookViewId="0">
      <selection activeCell="E8" sqref="E8"/>
    </sheetView>
  </sheetViews>
  <sheetFormatPr baseColWidth="10" defaultRowHeight="15" x14ac:dyDescent="0.2"/>
  <cols>
    <col min="1" max="1" width="12.33203125" bestFit="1" customWidth="1"/>
    <col min="2" max="2" width="23.1640625" bestFit="1" customWidth="1"/>
    <col min="3" max="3" width="23.6640625" bestFit="1" customWidth="1"/>
    <col min="4" max="4" width="13.5" bestFit="1" customWidth="1"/>
    <col min="5" max="5" width="15.1640625" bestFit="1" customWidth="1"/>
    <col min="6" max="12" width="6.6640625" bestFit="1" customWidth="1"/>
    <col min="13" max="14" width="7.6640625" bestFit="1" customWidth="1"/>
    <col min="15" max="15" width="6.1640625" bestFit="1" customWidth="1"/>
    <col min="16" max="16" width="6.6640625" bestFit="1" customWidth="1"/>
    <col min="17" max="17" width="7.6640625" bestFit="1" customWidth="1"/>
    <col min="18" max="18" width="8.6640625" bestFit="1" customWidth="1"/>
    <col min="19" max="19" width="6.6640625" bestFit="1" customWidth="1"/>
    <col min="20" max="21" width="7.6640625" bestFit="1" customWidth="1"/>
    <col min="22" max="22" width="6.6640625" bestFit="1" customWidth="1"/>
    <col min="23" max="24" width="7.6640625" bestFit="1" customWidth="1"/>
    <col min="25" max="25" width="6.6640625" bestFit="1" customWidth="1"/>
    <col min="26" max="28" width="7.6640625" bestFit="1" customWidth="1"/>
    <col min="29" max="29" width="6.6640625" bestFit="1" customWidth="1"/>
    <col min="30" max="30" width="7.6640625" bestFit="1" customWidth="1"/>
    <col min="31" max="31" width="6.6640625" bestFit="1" customWidth="1"/>
    <col min="32" max="32" width="7.6640625" bestFit="1" customWidth="1"/>
    <col min="33" max="33" width="6.6640625" bestFit="1" customWidth="1"/>
    <col min="34" max="35" width="7.6640625" bestFit="1" customWidth="1"/>
    <col min="36" max="37" width="6.6640625" bestFit="1" customWidth="1"/>
    <col min="38" max="39" width="7.6640625" bestFit="1" customWidth="1"/>
    <col min="40" max="40" width="6.6640625" bestFit="1" customWidth="1"/>
    <col min="41" max="43" width="7.6640625" bestFit="1" customWidth="1"/>
    <col min="44" max="49" width="6.6640625" bestFit="1" customWidth="1"/>
    <col min="50" max="52" width="7.6640625" bestFit="1" customWidth="1"/>
    <col min="53" max="53" width="6.83203125" bestFit="1" customWidth="1"/>
    <col min="54" max="54" width="7.6640625" bestFit="1" customWidth="1"/>
    <col min="55" max="55" width="6.83203125" bestFit="1" customWidth="1"/>
    <col min="56" max="57" width="7.6640625" bestFit="1" customWidth="1"/>
    <col min="58" max="58" width="6.83203125" bestFit="1" customWidth="1"/>
    <col min="59" max="63" width="7.6640625" bestFit="1" customWidth="1"/>
    <col min="64" max="64" width="6.83203125" bestFit="1" customWidth="1"/>
    <col min="65" max="67" width="7.6640625" bestFit="1" customWidth="1"/>
    <col min="68" max="72" width="6.83203125" bestFit="1" customWidth="1"/>
    <col min="73" max="73" width="7.6640625" bestFit="1" customWidth="1"/>
    <col min="74" max="75" width="6.83203125" bestFit="1" customWidth="1"/>
    <col min="76" max="76" width="7.6640625" bestFit="1" customWidth="1"/>
    <col min="77" max="77" width="6.6640625" bestFit="1" customWidth="1"/>
    <col min="78" max="78" width="7.6640625" bestFit="1" customWidth="1"/>
    <col min="79" max="79" width="6.6640625" bestFit="1" customWidth="1"/>
    <col min="80" max="80" width="7.6640625" bestFit="1" customWidth="1"/>
    <col min="81" max="84" width="6.6640625" bestFit="1" customWidth="1"/>
    <col min="85" max="85" width="7.6640625" bestFit="1" customWidth="1"/>
    <col min="86" max="86" width="6.6640625" bestFit="1" customWidth="1"/>
    <col min="87" max="88" width="7.6640625" bestFit="1" customWidth="1"/>
    <col min="89" max="89" width="6.6640625" bestFit="1" customWidth="1"/>
    <col min="90" max="91" width="7.6640625" bestFit="1" customWidth="1"/>
    <col min="92" max="92" width="6.5" bestFit="1" customWidth="1"/>
    <col min="93" max="96" width="6.6640625" bestFit="1" customWidth="1"/>
    <col min="97" max="97" width="8.6640625" bestFit="1" customWidth="1"/>
    <col min="98" max="99" width="7.6640625" bestFit="1" customWidth="1"/>
    <col min="100" max="100" width="6.6640625" bestFit="1" customWidth="1"/>
    <col min="101" max="102" width="7.6640625" bestFit="1" customWidth="1"/>
    <col min="103" max="106" width="7" bestFit="1" customWidth="1"/>
    <col min="107" max="111" width="7.6640625" bestFit="1" customWidth="1"/>
    <col min="112" max="112" width="7" bestFit="1" customWidth="1"/>
    <col min="113" max="113" width="7.6640625" bestFit="1" customWidth="1"/>
    <col min="114" max="115" width="7" bestFit="1" customWidth="1"/>
    <col min="116" max="118" width="7.6640625" bestFit="1" customWidth="1"/>
    <col min="119" max="120" width="7" bestFit="1" customWidth="1"/>
    <col min="121" max="123" width="7.6640625" bestFit="1" customWidth="1"/>
    <col min="124" max="128" width="7" bestFit="1" customWidth="1"/>
    <col min="129" max="129" width="7.6640625" bestFit="1" customWidth="1"/>
    <col min="130" max="130" width="6.6640625" bestFit="1" customWidth="1"/>
    <col min="131" max="135" width="7.6640625" bestFit="1" customWidth="1"/>
    <col min="136" max="136" width="6.6640625" bestFit="1" customWidth="1"/>
    <col min="137" max="137" width="7.6640625" bestFit="1" customWidth="1"/>
    <col min="138" max="138" width="8.6640625" bestFit="1" customWidth="1"/>
    <col min="139" max="139" width="6.33203125" bestFit="1" customWidth="1"/>
    <col min="140" max="140" width="7.6640625" bestFit="1" customWidth="1"/>
    <col min="141" max="142" width="6.6640625" bestFit="1" customWidth="1"/>
    <col min="143" max="143" width="7.6640625" bestFit="1" customWidth="1"/>
    <col min="144" max="145" width="6.6640625" bestFit="1" customWidth="1"/>
    <col min="146" max="146" width="7.6640625" bestFit="1" customWidth="1"/>
    <col min="147" max="151" width="6.6640625" bestFit="1" customWidth="1"/>
    <col min="152" max="152" width="7.6640625" bestFit="1" customWidth="1"/>
    <col min="153" max="154" width="6.6640625" bestFit="1" customWidth="1"/>
    <col min="155" max="156" width="7.6640625" bestFit="1" customWidth="1"/>
    <col min="157" max="157" width="8.6640625" bestFit="1" customWidth="1"/>
    <col min="158" max="159" width="7.6640625" bestFit="1" customWidth="1"/>
    <col min="160" max="160" width="6.6640625" bestFit="1" customWidth="1"/>
    <col min="161" max="161" width="5.83203125" bestFit="1" customWidth="1"/>
    <col min="162" max="163" width="6.6640625" bestFit="1" customWidth="1"/>
    <col min="164" max="168" width="7.6640625" bestFit="1" customWidth="1"/>
    <col min="169" max="170" width="6.6640625" bestFit="1" customWidth="1"/>
    <col min="171" max="172" width="7.6640625" bestFit="1" customWidth="1"/>
    <col min="173" max="176" width="6.6640625" bestFit="1" customWidth="1"/>
    <col min="177" max="177" width="7.6640625" bestFit="1" customWidth="1"/>
    <col min="178" max="180" width="6.6640625" bestFit="1" customWidth="1"/>
    <col min="181" max="181" width="7.6640625" bestFit="1" customWidth="1"/>
    <col min="182" max="182" width="6.6640625" bestFit="1" customWidth="1"/>
    <col min="183" max="183" width="7.6640625" bestFit="1" customWidth="1"/>
    <col min="184" max="187" width="6.6640625" bestFit="1" customWidth="1"/>
    <col min="188" max="194" width="7.6640625" bestFit="1" customWidth="1"/>
    <col min="195" max="196" width="6.6640625" bestFit="1" customWidth="1"/>
    <col min="197" max="197" width="7.6640625" bestFit="1" customWidth="1"/>
    <col min="198" max="200" width="6.6640625" bestFit="1" customWidth="1"/>
    <col min="201" max="202" width="7.6640625" bestFit="1" customWidth="1"/>
    <col min="203" max="203" width="6.6640625" bestFit="1" customWidth="1"/>
    <col min="204" max="204" width="7.6640625" bestFit="1" customWidth="1"/>
    <col min="205" max="205" width="6.6640625" bestFit="1" customWidth="1"/>
    <col min="206" max="206" width="7.6640625" bestFit="1" customWidth="1"/>
    <col min="207" max="207" width="6.6640625" bestFit="1" customWidth="1"/>
    <col min="208" max="208" width="7.6640625" bestFit="1" customWidth="1"/>
    <col min="209" max="211" width="6.6640625" bestFit="1" customWidth="1"/>
    <col min="212" max="213" width="7.6640625" bestFit="1" customWidth="1"/>
    <col min="214" max="214" width="6.6640625" bestFit="1" customWidth="1"/>
    <col min="215" max="215" width="7.6640625" bestFit="1" customWidth="1"/>
    <col min="216" max="216" width="6.6640625" bestFit="1" customWidth="1"/>
    <col min="217" max="217" width="7.6640625" bestFit="1" customWidth="1"/>
    <col min="218" max="220" width="6.6640625" bestFit="1" customWidth="1"/>
    <col min="221" max="224" width="7.6640625" bestFit="1" customWidth="1"/>
    <col min="225" max="225" width="6.6640625" bestFit="1" customWidth="1"/>
    <col min="226" max="226" width="7.6640625" bestFit="1" customWidth="1"/>
    <col min="227" max="228" width="6.6640625" bestFit="1" customWidth="1"/>
    <col min="229" max="230" width="7.6640625" bestFit="1" customWidth="1"/>
    <col min="231" max="231" width="6.6640625" bestFit="1" customWidth="1"/>
    <col min="232" max="232" width="7.6640625" bestFit="1" customWidth="1"/>
    <col min="233" max="233" width="6.6640625" bestFit="1" customWidth="1"/>
    <col min="234" max="234" width="7.6640625" bestFit="1" customWidth="1"/>
    <col min="235" max="238" width="6.6640625" bestFit="1" customWidth="1"/>
    <col min="239" max="239" width="8.6640625" bestFit="1" customWidth="1"/>
    <col min="240" max="240" width="6.6640625" bestFit="1" customWidth="1"/>
    <col min="241" max="241" width="7.6640625" bestFit="1" customWidth="1"/>
    <col min="242" max="243" width="6.6640625" bestFit="1" customWidth="1"/>
    <col min="244" max="244" width="7.6640625" bestFit="1" customWidth="1"/>
    <col min="245" max="245" width="6.6640625" bestFit="1" customWidth="1"/>
    <col min="246" max="246" width="7.6640625" bestFit="1" customWidth="1"/>
    <col min="247" max="248" width="6.6640625" bestFit="1" customWidth="1"/>
    <col min="249" max="249" width="8.6640625" bestFit="1" customWidth="1"/>
    <col min="250" max="251" width="6.6640625" bestFit="1" customWidth="1"/>
    <col min="252" max="253" width="7.6640625" bestFit="1" customWidth="1"/>
    <col min="254" max="255" width="6.6640625" bestFit="1" customWidth="1"/>
    <col min="256" max="256" width="7.6640625" bestFit="1" customWidth="1"/>
    <col min="257" max="260" width="6.6640625" bestFit="1" customWidth="1"/>
    <col min="261" max="261" width="8.6640625" bestFit="1" customWidth="1"/>
    <col min="262" max="262" width="7.6640625" bestFit="1" customWidth="1"/>
    <col min="263" max="266" width="6.6640625" bestFit="1" customWidth="1"/>
    <col min="267" max="267" width="7.6640625" bestFit="1" customWidth="1"/>
    <col min="268" max="271" width="6.6640625" bestFit="1" customWidth="1"/>
    <col min="272" max="272" width="7.6640625" bestFit="1" customWidth="1"/>
    <col min="273" max="274" width="6.6640625" bestFit="1" customWidth="1"/>
    <col min="275" max="275" width="7.6640625" bestFit="1" customWidth="1"/>
    <col min="276" max="277" width="6.6640625" bestFit="1" customWidth="1"/>
    <col min="278" max="278" width="8.6640625" bestFit="1" customWidth="1"/>
    <col min="279" max="281" width="6.6640625" bestFit="1" customWidth="1"/>
    <col min="282" max="283" width="7.6640625" bestFit="1" customWidth="1"/>
    <col min="284" max="284" width="6.6640625" bestFit="1" customWidth="1"/>
    <col min="285" max="285" width="7.6640625" bestFit="1" customWidth="1"/>
    <col min="286" max="286" width="6.6640625" bestFit="1" customWidth="1"/>
    <col min="287" max="287" width="7.6640625" bestFit="1" customWidth="1"/>
    <col min="288" max="292" width="6.6640625" bestFit="1" customWidth="1"/>
    <col min="293" max="294" width="7.6640625" bestFit="1" customWidth="1"/>
    <col min="295" max="295" width="6.6640625" bestFit="1" customWidth="1"/>
    <col min="296" max="296" width="7.6640625" bestFit="1" customWidth="1"/>
    <col min="297" max="300" width="6.6640625" bestFit="1" customWidth="1"/>
    <col min="301" max="301" width="7.6640625" bestFit="1" customWidth="1"/>
    <col min="302" max="302" width="6.6640625" bestFit="1" customWidth="1"/>
    <col min="303" max="306" width="7.6640625" bestFit="1" customWidth="1"/>
    <col min="307" max="307" width="6.6640625" bestFit="1" customWidth="1"/>
    <col min="308" max="308" width="7.6640625" bestFit="1" customWidth="1"/>
    <col min="309" max="309" width="6.6640625" bestFit="1" customWidth="1"/>
    <col min="310" max="310" width="7.6640625" bestFit="1" customWidth="1"/>
    <col min="311" max="311" width="23.6640625" bestFit="1" customWidth="1"/>
    <col min="312" max="312" width="6.6640625" bestFit="1" customWidth="1"/>
    <col min="313" max="313" width="6.1640625" bestFit="1" customWidth="1"/>
    <col min="314" max="314" width="8.6640625" bestFit="1" customWidth="1"/>
    <col min="315" max="316" width="6.6640625" bestFit="1" customWidth="1"/>
    <col min="317" max="317" width="7.6640625" bestFit="1" customWidth="1"/>
    <col min="318" max="321" width="6.6640625" bestFit="1" customWidth="1"/>
    <col min="322" max="323" width="7.6640625" bestFit="1" customWidth="1"/>
    <col min="324" max="324" width="6.1640625" bestFit="1" customWidth="1"/>
    <col min="325" max="325" width="6.6640625" bestFit="1" customWidth="1"/>
    <col min="326" max="326" width="7.6640625" bestFit="1" customWidth="1"/>
    <col min="327" max="327" width="8.6640625" bestFit="1" customWidth="1"/>
    <col min="328" max="328" width="6.6640625" bestFit="1" customWidth="1"/>
    <col min="329" max="330" width="7.6640625" bestFit="1" customWidth="1"/>
    <col min="331" max="331" width="6.6640625" bestFit="1" customWidth="1"/>
    <col min="332" max="333" width="7.6640625" bestFit="1" customWidth="1"/>
    <col min="334" max="334" width="6.6640625" bestFit="1" customWidth="1"/>
    <col min="335" max="337" width="7.6640625" bestFit="1" customWidth="1"/>
    <col min="338" max="340" width="6.6640625" bestFit="1" customWidth="1"/>
    <col min="341" max="341" width="7.6640625" bestFit="1" customWidth="1"/>
    <col min="342" max="342" width="6.6640625" bestFit="1" customWidth="1"/>
    <col min="343" max="344" width="7.6640625" bestFit="1" customWidth="1"/>
    <col min="345" max="346" width="6.6640625" bestFit="1" customWidth="1"/>
    <col min="347" max="348" width="7.6640625" bestFit="1" customWidth="1"/>
    <col min="349" max="349" width="6.6640625" bestFit="1" customWidth="1"/>
    <col min="350" max="352" width="7.6640625" bestFit="1" customWidth="1"/>
    <col min="353" max="356" width="6.6640625" bestFit="1" customWidth="1"/>
    <col min="357" max="357" width="7.6640625" bestFit="1" customWidth="1"/>
    <col min="358" max="358" width="6.6640625" bestFit="1" customWidth="1"/>
    <col min="359" max="361" width="7.6640625" bestFit="1" customWidth="1"/>
    <col min="362" max="362" width="6.83203125" bestFit="1" customWidth="1"/>
    <col min="363" max="363" width="7.6640625" bestFit="1" customWidth="1"/>
    <col min="364" max="364" width="6.83203125" bestFit="1" customWidth="1"/>
    <col min="365" max="366" width="7.6640625" bestFit="1" customWidth="1"/>
    <col min="367" max="367" width="6.83203125" bestFit="1" customWidth="1"/>
    <col min="368" max="372" width="7.6640625" bestFit="1" customWidth="1"/>
    <col min="373" max="373" width="6.83203125" bestFit="1" customWidth="1"/>
    <col min="374" max="376" width="7.6640625" bestFit="1" customWidth="1"/>
    <col min="377" max="381" width="6.83203125" bestFit="1" customWidth="1"/>
    <col min="382" max="382" width="7.6640625" bestFit="1" customWidth="1"/>
    <col min="383" max="384" width="6.83203125" bestFit="1" customWidth="1"/>
    <col min="385" max="385" width="7.6640625" bestFit="1" customWidth="1"/>
    <col min="386" max="386" width="6.6640625" bestFit="1" customWidth="1"/>
    <col min="387" max="387" width="7.6640625" bestFit="1" customWidth="1"/>
    <col min="388" max="388" width="6.6640625" bestFit="1" customWidth="1"/>
    <col min="389" max="389" width="7.6640625" bestFit="1" customWidth="1"/>
    <col min="390" max="393" width="6.6640625" bestFit="1" customWidth="1"/>
    <col min="394" max="397" width="7.6640625" bestFit="1" customWidth="1"/>
    <col min="398" max="398" width="6.6640625" bestFit="1" customWidth="1"/>
    <col min="399" max="400" width="7.6640625" bestFit="1" customWidth="1"/>
    <col min="401" max="401" width="6.5" bestFit="1" customWidth="1"/>
    <col min="402" max="405" width="6.6640625" bestFit="1" customWidth="1"/>
    <col min="406" max="406" width="8.6640625" bestFit="1" customWidth="1"/>
    <col min="407" max="408" width="7.6640625" bestFit="1" customWidth="1"/>
    <col min="409" max="409" width="6.6640625" bestFit="1" customWidth="1"/>
    <col min="410" max="411" width="7.6640625" bestFit="1" customWidth="1"/>
    <col min="412" max="415" width="7" bestFit="1" customWidth="1"/>
    <col min="416" max="420" width="7.6640625" bestFit="1" customWidth="1"/>
    <col min="421" max="421" width="7" bestFit="1" customWidth="1"/>
    <col min="422" max="422" width="7.6640625" bestFit="1" customWidth="1"/>
    <col min="423" max="424" width="7" bestFit="1" customWidth="1"/>
    <col min="425" max="427" width="7.6640625" bestFit="1" customWidth="1"/>
    <col min="428" max="429" width="7" bestFit="1" customWidth="1"/>
    <col min="430" max="431" width="7.6640625" bestFit="1" customWidth="1"/>
    <col min="432" max="437" width="7" bestFit="1" customWidth="1"/>
    <col min="438" max="438" width="7.6640625" bestFit="1" customWidth="1"/>
    <col min="439" max="439" width="6.6640625" bestFit="1" customWidth="1"/>
    <col min="440" max="444" width="7.6640625" bestFit="1" customWidth="1"/>
    <col min="445" max="445" width="6.6640625" bestFit="1" customWidth="1"/>
    <col min="446" max="446" width="7.6640625" bestFit="1" customWidth="1"/>
    <col min="447" max="447" width="8.6640625" bestFit="1" customWidth="1"/>
    <col min="448" max="448" width="6.33203125" bestFit="1" customWidth="1"/>
    <col min="449" max="449" width="7.6640625" bestFit="1" customWidth="1"/>
    <col min="450" max="451" width="6.6640625" bestFit="1" customWidth="1"/>
    <col min="452" max="452" width="7.6640625" bestFit="1" customWidth="1"/>
    <col min="453" max="454" width="6.6640625" bestFit="1" customWidth="1"/>
    <col min="455" max="455" width="7.6640625" bestFit="1" customWidth="1"/>
    <col min="456" max="457" width="6.6640625" bestFit="1" customWidth="1"/>
    <col min="458" max="458" width="6.33203125" bestFit="1" customWidth="1"/>
    <col min="459" max="460" width="6.6640625" bestFit="1" customWidth="1"/>
    <col min="461" max="461" width="7.6640625" bestFit="1" customWidth="1"/>
    <col min="462" max="463" width="6.6640625" bestFit="1" customWidth="1"/>
    <col min="464" max="465" width="7.6640625" bestFit="1" customWidth="1"/>
    <col min="466" max="466" width="8.6640625" bestFit="1" customWidth="1"/>
    <col min="467" max="468" width="7.6640625" bestFit="1" customWidth="1"/>
    <col min="469" max="469" width="6.6640625" bestFit="1" customWidth="1"/>
    <col min="470" max="470" width="5.83203125" bestFit="1" customWidth="1"/>
    <col min="471" max="472" width="6.6640625" bestFit="1" customWidth="1"/>
    <col min="473" max="477" width="7.6640625" bestFit="1" customWidth="1"/>
    <col min="478" max="479" width="6.6640625" bestFit="1" customWidth="1"/>
    <col min="480" max="481" width="7.6640625" bestFit="1" customWidth="1"/>
    <col min="482" max="485" width="6.6640625" bestFit="1" customWidth="1"/>
    <col min="486" max="486" width="7.6640625" bestFit="1" customWidth="1"/>
    <col min="487" max="489" width="6.6640625" bestFit="1" customWidth="1"/>
    <col min="490" max="490" width="7.6640625" bestFit="1" customWidth="1"/>
    <col min="491" max="496" width="6.6640625" bestFit="1" customWidth="1"/>
    <col min="497" max="502" width="7.6640625" bestFit="1" customWidth="1"/>
    <col min="503" max="505" width="6.6640625" bestFit="1" customWidth="1"/>
    <col min="506" max="506" width="7.6640625" bestFit="1" customWidth="1"/>
    <col min="507" max="509" width="6.6640625" bestFit="1" customWidth="1"/>
    <col min="510" max="511" width="7.6640625" bestFit="1" customWidth="1"/>
    <col min="512" max="512" width="6.6640625" bestFit="1" customWidth="1"/>
    <col min="513" max="513" width="7.6640625" bestFit="1" customWidth="1"/>
    <col min="514" max="514" width="6.6640625" bestFit="1" customWidth="1"/>
    <col min="515" max="515" width="7.6640625" bestFit="1" customWidth="1"/>
    <col min="516" max="516" width="6.6640625" bestFit="1" customWidth="1"/>
    <col min="517" max="517" width="7.6640625" bestFit="1" customWidth="1"/>
    <col min="518" max="520" width="6.6640625" bestFit="1" customWidth="1"/>
    <col min="521" max="524" width="7.6640625" bestFit="1" customWidth="1"/>
    <col min="525" max="525" width="6.6640625" bestFit="1" customWidth="1"/>
    <col min="526" max="526" width="7.6640625" bestFit="1" customWidth="1"/>
    <col min="527" max="529" width="6.6640625" bestFit="1" customWidth="1"/>
    <col min="530" max="532" width="7.6640625" bestFit="1" customWidth="1"/>
    <col min="533" max="534" width="6.6640625" bestFit="1" customWidth="1"/>
    <col min="535" max="535" width="7.6640625" bestFit="1" customWidth="1"/>
    <col min="536" max="537" width="6.6640625" bestFit="1" customWidth="1"/>
    <col min="538" max="539" width="7.6640625" bestFit="1" customWidth="1"/>
    <col min="540" max="540" width="6.6640625" bestFit="1" customWidth="1"/>
    <col min="541" max="541" width="7.6640625" bestFit="1" customWidth="1"/>
    <col min="542" max="542" width="6.6640625" bestFit="1" customWidth="1"/>
    <col min="543" max="543" width="7.6640625" bestFit="1" customWidth="1"/>
    <col min="544" max="547" width="6.6640625" bestFit="1" customWidth="1"/>
    <col min="548" max="548" width="8.6640625" bestFit="1" customWidth="1"/>
    <col min="549" max="549" width="6.6640625" bestFit="1" customWidth="1"/>
    <col min="550" max="550" width="7.6640625" bestFit="1" customWidth="1"/>
    <col min="551" max="552" width="6.6640625" bestFit="1" customWidth="1"/>
    <col min="553" max="553" width="7.6640625" bestFit="1" customWidth="1"/>
    <col min="554" max="554" width="6.6640625" bestFit="1" customWidth="1"/>
    <col min="555" max="555" width="7.6640625" bestFit="1" customWidth="1"/>
    <col min="556" max="557" width="6.6640625" bestFit="1" customWidth="1"/>
    <col min="558" max="559" width="7.6640625" bestFit="1" customWidth="1"/>
    <col min="560" max="560" width="6.6640625" bestFit="1" customWidth="1"/>
    <col min="561" max="562" width="7.6640625" bestFit="1" customWidth="1"/>
    <col min="563" max="564" width="6.6640625" bestFit="1" customWidth="1"/>
    <col min="565" max="565" width="7.6640625" bestFit="1" customWidth="1"/>
    <col min="566" max="569" width="6.6640625" bestFit="1" customWidth="1"/>
    <col min="570" max="571" width="7.6640625" bestFit="1" customWidth="1"/>
    <col min="572" max="573" width="6.6640625" bestFit="1" customWidth="1"/>
    <col min="574" max="574" width="7.6640625" bestFit="1" customWidth="1"/>
    <col min="575" max="575" width="6.6640625" bestFit="1" customWidth="1"/>
    <col min="576" max="576" width="7.6640625" bestFit="1" customWidth="1"/>
    <col min="577" max="579" width="6.6640625" bestFit="1" customWidth="1"/>
    <col min="580" max="581" width="7.6640625" bestFit="1" customWidth="1"/>
    <col min="582" max="583" width="6.6640625" bestFit="1" customWidth="1"/>
    <col min="584" max="584" width="7.6640625" bestFit="1" customWidth="1"/>
    <col min="585" max="586" width="6.6640625" bestFit="1" customWidth="1"/>
    <col min="587" max="587" width="7.6640625" bestFit="1" customWidth="1"/>
    <col min="588" max="590" width="6.6640625" bestFit="1" customWidth="1"/>
    <col min="591" max="592" width="7.6640625" bestFit="1" customWidth="1"/>
    <col min="593" max="593" width="6.6640625" bestFit="1" customWidth="1"/>
    <col min="594" max="594" width="7.6640625" bestFit="1" customWidth="1"/>
    <col min="595" max="595" width="6.6640625" bestFit="1" customWidth="1"/>
    <col min="596" max="596" width="7.6640625" bestFit="1" customWidth="1"/>
    <col min="597" max="601" width="6.6640625" bestFit="1" customWidth="1"/>
    <col min="602" max="603" width="7.6640625" bestFit="1" customWidth="1"/>
    <col min="604" max="604" width="6.6640625" bestFit="1" customWidth="1"/>
    <col min="605" max="605" width="7.6640625" bestFit="1" customWidth="1"/>
    <col min="606" max="609" width="6.6640625" bestFit="1" customWidth="1"/>
    <col min="610" max="610" width="7.6640625" bestFit="1" customWidth="1"/>
    <col min="611" max="611" width="6.6640625" bestFit="1" customWidth="1"/>
    <col min="612" max="615" width="7.6640625" bestFit="1" customWidth="1"/>
    <col min="616" max="616" width="6.6640625" bestFit="1" customWidth="1"/>
    <col min="617" max="617" width="7.6640625" bestFit="1" customWidth="1"/>
    <col min="618" max="618" width="6.6640625" bestFit="1" customWidth="1"/>
    <col min="619" max="619" width="7.6640625" bestFit="1" customWidth="1"/>
    <col min="620" max="620" width="27.5" bestFit="1" customWidth="1"/>
    <col min="621" max="621" width="28" bestFit="1" customWidth="1"/>
  </cols>
  <sheetData>
    <row r="1" spans="1:5" x14ac:dyDescent="0.2">
      <c r="A1" s="5" t="s">
        <v>3</v>
      </c>
      <c r="B1" t="s">
        <v>81</v>
      </c>
    </row>
    <row r="3" spans="1:5" x14ac:dyDescent="0.2">
      <c r="A3" s="5" t="s">
        <v>65</v>
      </c>
      <c r="B3" t="s">
        <v>66</v>
      </c>
      <c r="C3" t="s">
        <v>68</v>
      </c>
      <c r="D3" t="s">
        <v>82</v>
      </c>
      <c r="E3" t="s">
        <v>83</v>
      </c>
    </row>
    <row r="4" spans="1:5" x14ac:dyDescent="0.2">
      <c r="A4" s="6" t="s">
        <v>40</v>
      </c>
      <c r="B4" s="7">
        <v>1411400.85</v>
      </c>
      <c r="C4" s="7">
        <v>1398000.06</v>
      </c>
      <c r="D4" s="7">
        <v>13400.789999998407</v>
      </c>
      <c r="E4" s="10">
        <v>9.5856862838749838E-3</v>
      </c>
    </row>
    <row r="5" spans="1:5" x14ac:dyDescent="0.2">
      <c r="A5" s="8" t="s">
        <v>69</v>
      </c>
      <c r="B5" s="7">
        <v>101797.14</v>
      </c>
      <c r="C5" s="7">
        <v>116500.01</v>
      </c>
      <c r="D5" s="7">
        <v>-14702.869999999995</v>
      </c>
      <c r="E5" s="10">
        <v>-0.12620488187082557</v>
      </c>
    </row>
    <row r="6" spans="1:5" x14ac:dyDescent="0.2">
      <c r="A6" s="8" t="s">
        <v>70</v>
      </c>
      <c r="B6" s="7">
        <v>123921.77</v>
      </c>
      <c r="C6" s="7">
        <v>116500</v>
      </c>
      <c r="D6" s="7">
        <v>7421.7700000000041</v>
      </c>
      <c r="E6" s="10">
        <v>6.3706180257510764E-2</v>
      </c>
    </row>
    <row r="7" spans="1:5" x14ac:dyDescent="0.2">
      <c r="A7" s="8" t="s">
        <v>71</v>
      </c>
      <c r="B7" s="7">
        <v>122542.12</v>
      </c>
      <c r="C7" s="7">
        <v>116500.01</v>
      </c>
      <c r="D7" s="7">
        <v>6042.1100000000006</v>
      </c>
      <c r="E7" s="10">
        <v>5.186360069840338E-2</v>
      </c>
    </row>
    <row r="8" spans="1:5" x14ac:dyDescent="0.2">
      <c r="A8" s="8" t="s">
        <v>72</v>
      </c>
      <c r="B8" s="7">
        <v>121636.39</v>
      </c>
      <c r="C8" s="7">
        <v>116500</v>
      </c>
      <c r="D8" s="7">
        <v>5136.3899999999994</v>
      </c>
      <c r="E8" s="10">
        <v>4.4089184549356217E-2</v>
      </c>
    </row>
    <row r="9" spans="1:5" x14ac:dyDescent="0.2">
      <c r="A9" s="8" t="s">
        <v>73</v>
      </c>
      <c r="B9" s="7">
        <v>112572.13</v>
      </c>
      <c r="C9" s="7">
        <v>116500.01</v>
      </c>
      <c r="D9" s="7">
        <v>-3927.8799999999901</v>
      </c>
      <c r="E9" s="10">
        <v>-3.37157052604544E-2</v>
      </c>
    </row>
    <row r="10" spans="1:5" x14ac:dyDescent="0.2">
      <c r="A10" s="8" t="s">
        <v>74</v>
      </c>
      <c r="B10" s="7">
        <v>117430.91</v>
      </c>
      <c r="C10" s="7">
        <v>116500</v>
      </c>
      <c r="D10" s="7">
        <v>930.91000000000349</v>
      </c>
      <c r="E10" s="10">
        <v>7.9906437768240638E-3</v>
      </c>
    </row>
    <row r="11" spans="1:5" x14ac:dyDescent="0.2">
      <c r="A11" s="8" t="s">
        <v>75</v>
      </c>
      <c r="B11" s="7">
        <v>122102.85</v>
      </c>
      <c r="C11" s="7">
        <v>116500</v>
      </c>
      <c r="D11" s="7">
        <v>5602.8500000000058</v>
      </c>
      <c r="E11" s="10">
        <v>4.809313304721035E-2</v>
      </c>
    </row>
    <row r="12" spans="1:5" x14ac:dyDescent="0.2">
      <c r="A12" s="8" t="s">
        <v>76</v>
      </c>
      <c r="B12" s="7">
        <v>118029.85</v>
      </c>
      <c r="C12" s="7">
        <v>116500.01</v>
      </c>
      <c r="D12" s="7">
        <v>1529.8400000000111</v>
      </c>
      <c r="E12" s="10">
        <v>1.3131672692560379E-2</v>
      </c>
    </row>
    <row r="13" spans="1:5" x14ac:dyDescent="0.2">
      <c r="A13" s="8" t="s">
        <v>77</v>
      </c>
      <c r="B13" s="7">
        <v>128951.17000000001</v>
      </c>
      <c r="C13" s="7">
        <v>116500.01</v>
      </c>
      <c r="D13" s="7">
        <v>12451.160000000018</v>
      </c>
      <c r="E13" s="10">
        <v>0.1068769006972619</v>
      </c>
    </row>
    <row r="14" spans="1:5" x14ac:dyDescent="0.2">
      <c r="A14" s="8" t="s">
        <v>78</v>
      </c>
      <c r="B14" s="7">
        <v>103087.85000000003</v>
      </c>
      <c r="C14" s="7">
        <v>116500.01</v>
      </c>
      <c r="D14" s="7">
        <v>-13412.15999999996</v>
      </c>
      <c r="E14" s="10">
        <v>-0.11512582702782567</v>
      </c>
    </row>
    <row r="15" spans="1:5" x14ac:dyDescent="0.2">
      <c r="A15" s="8" t="s">
        <v>79</v>
      </c>
      <c r="B15" s="7">
        <v>121844.70999999998</v>
      </c>
      <c r="C15" s="7">
        <v>116500</v>
      </c>
      <c r="D15" s="7">
        <v>5344.7099999999773</v>
      </c>
      <c r="E15" s="10">
        <v>4.5877339055793796E-2</v>
      </c>
    </row>
    <row r="16" spans="1:5" x14ac:dyDescent="0.2">
      <c r="A16" s="8" t="s">
        <v>80</v>
      </c>
      <c r="B16" s="7">
        <v>117483.95999999998</v>
      </c>
      <c r="C16" s="7">
        <v>116500</v>
      </c>
      <c r="D16" s="7">
        <v>983.9599999999773</v>
      </c>
      <c r="E16" s="10">
        <v>8.4460085836907915E-3</v>
      </c>
    </row>
    <row r="17" spans="1:5" x14ac:dyDescent="0.2">
      <c r="A17" s="6" t="s">
        <v>52</v>
      </c>
      <c r="B17" s="7">
        <v>638591.99000000011</v>
      </c>
      <c r="C17" s="7">
        <v>657600.04</v>
      </c>
      <c r="D17" s="7">
        <v>-19008.050000000512</v>
      </c>
      <c r="E17" s="10">
        <v>-2.8905183764892265E-2</v>
      </c>
    </row>
    <row r="18" spans="1:5" x14ac:dyDescent="0.2">
      <c r="A18" s="8" t="s">
        <v>69</v>
      </c>
      <c r="B18" s="7">
        <v>48297.15</v>
      </c>
      <c r="C18" s="7">
        <v>54800.000000000007</v>
      </c>
      <c r="D18" s="7">
        <v>-6502.8500000000058</v>
      </c>
      <c r="E18" s="10">
        <v>-0.11866514598540155</v>
      </c>
    </row>
    <row r="19" spans="1:5" x14ac:dyDescent="0.2">
      <c r="A19" s="8" t="s">
        <v>70</v>
      </c>
      <c r="B19" s="7">
        <v>52417.490000000013</v>
      </c>
      <c r="C19" s="7">
        <v>54800.01</v>
      </c>
      <c r="D19" s="7">
        <v>-2382.5199999999895</v>
      </c>
      <c r="E19" s="10">
        <v>-4.3476634402073819E-2</v>
      </c>
    </row>
    <row r="20" spans="1:5" x14ac:dyDescent="0.2">
      <c r="A20" s="8" t="s">
        <v>71</v>
      </c>
      <c r="B20" s="7">
        <v>54619.930000000015</v>
      </c>
      <c r="C20" s="7">
        <v>54800</v>
      </c>
      <c r="D20" s="7">
        <v>-180.06999999998516</v>
      </c>
      <c r="E20" s="10">
        <v>-3.2859489051092184E-3</v>
      </c>
    </row>
    <row r="21" spans="1:5" x14ac:dyDescent="0.2">
      <c r="A21" s="8" t="s">
        <v>72</v>
      </c>
      <c r="B21" s="7">
        <v>49428.65</v>
      </c>
      <c r="C21" s="7">
        <v>54800</v>
      </c>
      <c r="D21" s="7">
        <v>-5371.3499999999985</v>
      </c>
      <c r="E21" s="10">
        <v>-9.8017335766423325E-2</v>
      </c>
    </row>
    <row r="22" spans="1:5" x14ac:dyDescent="0.2">
      <c r="A22" s="8" t="s">
        <v>73</v>
      </c>
      <c r="B22" s="7">
        <v>48415.679999999993</v>
      </c>
      <c r="C22" s="7">
        <v>54800</v>
      </c>
      <c r="D22" s="7">
        <v>-6384.320000000007</v>
      </c>
      <c r="E22" s="10">
        <v>-0.11650218978102203</v>
      </c>
    </row>
    <row r="23" spans="1:5" x14ac:dyDescent="0.2">
      <c r="A23" s="8" t="s">
        <v>74</v>
      </c>
      <c r="B23" s="7">
        <v>58406.340000000004</v>
      </c>
      <c r="C23" s="7">
        <v>54799.990000000005</v>
      </c>
      <c r="D23" s="7">
        <v>3606.3499999999985</v>
      </c>
      <c r="E23" s="10">
        <v>6.5809318578342768E-2</v>
      </c>
    </row>
    <row r="24" spans="1:5" x14ac:dyDescent="0.2">
      <c r="A24" s="8" t="s">
        <v>75</v>
      </c>
      <c r="B24" s="7">
        <v>61234.22</v>
      </c>
      <c r="C24" s="7">
        <v>54800</v>
      </c>
      <c r="D24" s="7">
        <v>6434.2200000000012</v>
      </c>
      <c r="E24" s="10">
        <v>0.11741277372262776</v>
      </c>
    </row>
    <row r="25" spans="1:5" x14ac:dyDescent="0.2">
      <c r="A25" s="8" t="s">
        <v>76</v>
      </c>
      <c r="B25" s="7">
        <v>54031.290000000008</v>
      </c>
      <c r="C25" s="7">
        <v>54800</v>
      </c>
      <c r="D25" s="7">
        <v>-768.70999999999185</v>
      </c>
      <c r="E25" s="10">
        <v>-1.4027554744525399E-2</v>
      </c>
    </row>
    <row r="26" spans="1:5" x14ac:dyDescent="0.2">
      <c r="A26" s="8" t="s">
        <v>77</v>
      </c>
      <c r="B26" s="7">
        <v>51155.13</v>
      </c>
      <c r="C26" s="7">
        <v>54800.01</v>
      </c>
      <c r="D26" s="7">
        <v>-3644.8800000000047</v>
      </c>
      <c r="E26" s="10">
        <v>-6.6512396621825523E-2</v>
      </c>
    </row>
    <row r="27" spans="1:5" x14ac:dyDescent="0.2">
      <c r="A27" s="8" t="s">
        <v>78</v>
      </c>
      <c r="B27" s="7">
        <v>55591.54</v>
      </c>
      <c r="C27" s="7">
        <v>54800.01</v>
      </c>
      <c r="D27" s="7">
        <v>791.52999999999884</v>
      </c>
      <c r="E27" s="10">
        <v>1.4443975466427813E-2</v>
      </c>
    </row>
    <row r="28" spans="1:5" x14ac:dyDescent="0.2">
      <c r="A28" s="8" t="s">
        <v>79</v>
      </c>
      <c r="B28" s="7">
        <v>55175.35</v>
      </c>
      <c r="C28" s="7">
        <v>54800.009999999995</v>
      </c>
      <c r="D28" s="7">
        <v>375.34000000000378</v>
      </c>
      <c r="E28" s="10">
        <v>6.8492688231261969E-3</v>
      </c>
    </row>
    <row r="29" spans="1:5" x14ac:dyDescent="0.2">
      <c r="A29" s="8" t="s">
        <v>80</v>
      </c>
      <c r="B29" s="7">
        <v>49819.219999999987</v>
      </c>
      <c r="C29" s="7">
        <v>54800.01</v>
      </c>
      <c r="D29" s="7">
        <v>-4980.7900000000154</v>
      </c>
      <c r="E29" s="10">
        <v>-9.0890311881330232E-2</v>
      </c>
    </row>
    <row r="30" spans="1:5" x14ac:dyDescent="0.2">
      <c r="A30" s="6" t="s">
        <v>23</v>
      </c>
      <c r="B30" s="7">
        <v>550244.4800000001</v>
      </c>
      <c r="C30" s="7">
        <v>558000.02</v>
      </c>
      <c r="D30" s="7">
        <v>-7755.5400000001537</v>
      </c>
      <c r="E30" s="10">
        <v>-1.3898816706135877E-2</v>
      </c>
    </row>
    <row r="31" spans="1:5" x14ac:dyDescent="0.2">
      <c r="A31" s="8" t="s">
        <v>69</v>
      </c>
      <c r="B31" s="7">
        <v>46108.399999999994</v>
      </c>
      <c r="C31" s="7">
        <v>46500</v>
      </c>
      <c r="D31" s="7">
        <v>-391.60000000000582</v>
      </c>
      <c r="E31" s="10">
        <v>-8.421505376344212E-3</v>
      </c>
    </row>
    <row r="32" spans="1:5" x14ac:dyDescent="0.2">
      <c r="A32" s="8" t="s">
        <v>70</v>
      </c>
      <c r="B32" s="7">
        <v>45432.599999999991</v>
      </c>
      <c r="C32" s="7">
        <v>46500</v>
      </c>
      <c r="D32" s="7">
        <v>-1067.4000000000087</v>
      </c>
      <c r="E32" s="10">
        <v>-2.2954838709677607E-2</v>
      </c>
    </row>
    <row r="33" spans="1:5" x14ac:dyDescent="0.2">
      <c r="A33" s="8" t="s">
        <v>71</v>
      </c>
      <c r="B33" s="7">
        <v>42144.979999999989</v>
      </c>
      <c r="C33" s="7">
        <v>46500.01</v>
      </c>
      <c r="D33" s="7">
        <v>-4355.0300000000134</v>
      </c>
      <c r="E33" s="10">
        <v>-9.3656538998594052E-2</v>
      </c>
    </row>
    <row r="34" spans="1:5" x14ac:dyDescent="0.2">
      <c r="A34" s="8" t="s">
        <v>72</v>
      </c>
      <c r="B34" s="7">
        <v>53666.95</v>
      </c>
      <c r="C34" s="7">
        <v>46499.990000000005</v>
      </c>
      <c r="D34" s="7">
        <v>7166.9599999999919</v>
      </c>
      <c r="E34" s="10">
        <v>0.15412820518886114</v>
      </c>
    </row>
    <row r="35" spans="1:5" x14ac:dyDescent="0.2">
      <c r="A35" s="8" t="s">
        <v>73</v>
      </c>
      <c r="B35" s="7">
        <v>44774.450000000012</v>
      </c>
      <c r="C35" s="7">
        <v>46500.000000000007</v>
      </c>
      <c r="D35" s="7">
        <v>-1725.5499999999956</v>
      </c>
      <c r="E35" s="10">
        <v>-3.7108602150537531E-2</v>
      </c>
    </row>
    <row r="36" spans="1:5" x14ac:dyDescent="0.2">
      <c r="A36" s="8" t="s">
        <v>74</v>
      </c>
      <c r="B36" s="7">
        <v>45492.809999999983</v>
      </c>
      <c r="C36" s="7">
        <v>46500.01</v>
      </c>
      <c r="D36" s="7">
        <v>-1007.2000000000189</v>
      </c>
      <c r="E36" s="10">
        <v>-2.1660210395654085E-2</v>
      </c>
    </row>
    <row r="37" spans="1:5" x14ac:dyDescent="0.2">
      <c r="A37" s="8" t="s">
        <v>75</v>
      </c>
      <c r="B37" s="7">
        <v>46193.7</v>
      </c>
      <c r="C37" s="7">
        <v>46500</v>
      </c>
      <c r="D37" s="7">
        <v>-306.30000000000291</v>
      </c>
      <c r="E37" s="10">
        <v>-6.5870967741936109E-3</v>
      </c>
    </row>
    <row r="38" spans="1:5" x14ac:dyDescent="0.2">
      <c r="A38" s="8" t="s">
        <v>76</v>
      </c>
      <c r="B38" s="7">
        <v>45321.9</v>
      </c>
      <c r="C38" s="7">
        <v>46500</v>
      </c>
      <c r="D38" s="7">
        <v>-1178.0999999999985</v>
      </c>
      <c r="E38" s="10">
        <v>-2.533548387096771E-2</v>
      </c>
    </row>
    <row r="39" spans="1:5" x14ac:dyDescent="0.2">
      <c r="A39" s="8" t="s">
        <v>77</v>
      </c>
      <c r="B39" s="7">
        <v>45904.100000000013</v>
      </c>
      <c r="C39" s="7">
        <v>46500</v>
      </c>
      <c r="D39" s="7">
        <v>-595.8999999999869</v>
      </c>
      <c r="E39" s="10">
        <v>-1.2815053763440578E-2</v>
      </c>
    </row>
    <row r="40" spans="1:5" x14ac:dyDescent="0.2">
      <c r="A40" s="8" t="s">
        <v>78</v>
      </c>
      <c r="B40" s="7">
        <v>44809.23000000001</v>
      </c>
      <c r="C40" s="7">
        <v>46500</v>
      </c>
      <c r="D40" s="7">
        <v>-1690.7699999999895</v>
      </c>
      <c r="E40" s="10">
        <v>-3.6360645161290096E-2</v>
      </c>
    </row>
    <row r="41" spans="1:5" x14ac:dyDescent="0.2">
      <c r="A41" s="8" t="s">
        <v>79</v>
      </c>
      <c r="B41" s="7">
        <v>43030.749999999993</v>
      </c>
      <c r="C41" s="7">
        <v>46500.000000000007</v>
      </c>
      <c r="D41" s="7">
        <v>-3469.2500000000146</v>
      </c>
      <c r="E41" s="10">
        <v>-7.4607526881720732E-2</v>
      </c>
    </row>
    <row r="42" spans="1:5" x14ac:dyDescent="0.2">
      <c r="A42" s="8" t="s">
        <v>80</v>
      </c>
      <c r="B42" s="7">
        <v>47364.61</v>
      </c>
      <c r="C42" s="7">
        <v>46500.01</v>
      </c>
      <c r="D42" s="7">
        <v>864.59999999999854</v>
      </c>
      <c r="E42" s="10">
        <v>1.8593544388485046E-2</v>
      </c>
    </row>
    <row r="43" spans="1:5" x14ac:dyDescent="0.2">
      <c r="A43" s="6" t="s">
        <v>46</v>
      </c>
      <c r="B43" s="7">
        <v>756596.21000000008</v>
      </c>
      <c r="C43" s="7">
        <v>750000.1</v>
      </c>
      <c r="D43" s="7">
        <v>6596.1099999992875</v>
      </c>
      <c r="E43" s="10">
        <v>8.7948121606907566E-3</v>
      </c>
    </row>
    <row r="44" spans="1:5" x14ac:dyDescent="0.2">
      <c r="A44" s="8" t="s">
        <v>69</v>
      </c>
      <c r="B44" s="7">
        <v>64993.750000000007</v>
      </c>
      <c r="C44" s="7">
        <v>62500.009999999995</v>
      </c>
      <c r="D44" s="7">
        <v>2493.7400000000125</v>
      </c>
      <c r="E44" s="10">
        <v>3.9899833616026822E-2</v>
      </c>
    </row>
    <row r="45" spans="1:5" x14ac:dyDescent="0.2">
      <c r="A45" s="8" t="s">
        <v>70</v>
      </c>
      <c r="B45" s="7">
        <v>71644.09</v>
      </c>
      <c r="C45" s="7">
        <v>62500</v>
      </c>
      <c r="D45" s="7">
        <v>9144.0899999999965</v>
      </c>
      <c r="E45" s="10">
        <v>0.14630543999999995</v>
      </c>
    </row>
    <row r="46" spans="1:5" x14ac:dyDescent="0.2">
      <c r="A46" s="8" t="s">
        <v>71</v>
      </c>
      <c r="B46" s="7">
        <v>60811.040000000008</v>
      </c>
      <c r="C46" s="7">
        <v>62500.009999999995</v>
      </c>
      <c r="D46" s="7">
        <v>-1688.9699999999866</v>
      </c>
      <c r="E46" s="10">
        <v>-2.7023515676237279E-2</v>
      </c>
    </row>
    <row r="47" spans="1:5" x14ac:dyDescent="0.2">
      <c r="A47" s="8" t="s">
        <v>72</v>
      </c>
      <c r="B47" s="7">
        <v>59010.059999999983</v>
      </c>
      <c r="C47" s="7">
        <v>62500.009999999995</v>
      </c>
      <c r="D47" s="7">
        <v>-3489.9500000000116</v>
      </c>
      <c r="E47" s="10">
        <v>-5.5839191065729619E-2</v>
      </c>
    </row>
    <row r="48" spans="1:5" x14ac:dyDescent="0.2">
      <c r="A48" s="8" t="s">
        <v>73</v>
      </c>
      <c r="B48" s="7">
        <v>57789.32</v>
      </c>
      <c r="C48" s="7">
        <v>62500</v>
      </c>
      <c r="D48" s="7">
        <v>-4710.68</v>
      </c>
      <c r="E48" s="10">
        <v>-7.5370880000000001E-2</v>
      </c>
    </row>
    <row r="49" spans="1:5" x14ac:dyDescent="0.2">
      <c r="A49" s="8" t="s">
        <v>74</v>
      </c>
      <c r="B49" s="7">
        <v>68180.989999999991</v>
      </c>
      <c r="C49" s="7">
        <v>62500.01999999999</v>
      </c>
      <c r="D49" s="7">
        <v>5680.9700000000012</v>
      </c>
      <c r="E49" s="10">
        <v>9.0895490913442942E-2</v>
      </c>
    </row>
    <row r="50" spans="1:5" x14ac:dyDescent="0.2">
      <c r="A50" s="8" t="s">
        <v>75</v>
      </c>
      <c r="B50" s="7">
        <v>68466.17</v>
      </c>
      <c r="C50" s="7">
        <v>62500</v>
      </c>
      <c r="D50" s="7">
        <v>5966.1699999999983</v>
      </c>
      <c r="E50" s="10">
        <v>9.5458719999999969E-2</v>
      </c>
    </row>
    <row r="51" spans="1:5" x14ac:dyDescent="0.2">
      <c r="A51" s="8" t="s">
        <v>76</v>
      </c>
      <c r="B51" s="7">
        <v>62626.410000000018</v>
      </c>
      <c r="C51" s="7">
        <v>62500.009999999995</v>
      </c>
      <c r="D51" s="7">
        <v>126.40000000002328</v>
      </c>
      <c r="E51" s="10">
        <v>2.0223996764164244E-3</v>
      </c>
    </row>
    <row r="52" spans="1:5" x14ac:dyDescent="0.2">
      <c r="A52" s="8" t="s">
        <v>77</v>
      </c>
      <c r="B52" s="7">
        <v>59831.32</v>
      </c>
      <c r="C52" s="7">
        <v>62500</v>
      </c>
      <c r="D52" s="7">
        <v>-2668.6800000000003</v>
      </c>
      <c r="E52" s="10">
        <v>-4.2698880000000002E-2</v>
      </c>
    </row>
    <row r="53" spans="1:5" x14ac:dyDescent="0.2">
      <c r="A53" s="8" t="s">
        <v>78</v>
      </c>
      <c r="B53" s="7">
        <v>62529.900000000009</v>
      </c>
      <c r="C53" s="7">
        <v>62500.01999999999</v>
      </c>
      <c r="D53" s="7">
        <v>29.880000000019209</v>
      </c>
      <c r="E53" s="10">
        <v>4.7807984701475636E-4</v>
      </c>
    </row>
    <row r="54" spans="1:5" x14ac:dyDescent="0.2">
      <c r="A54" s="8" t="s">
        <v>79</v>
      </c>
      <c r="B54" s="7">
        <v>61730.310000000005</v>
      </c>
      <c r="C54" s="7">
        <v>62500</v>
      </c>
      <c r="D54" s="7">
        <v>-769.68999999999505</v>
      </c>
      <c r="E54" s="10">
        <v>-1.2315039999999921E-2</v>
      </c>
    </row>
    <row r="55" spans="1:5" x14ac:dyDescent="0.2">
      <c r="A55" s="8" t="s">
        <v>80</v>
      </c>
      <c r="B55" s="7">
        <v>58982.850000000006</v>
      </c>
      <c r="C55" s="7">
        <v>62500.01999999999</v>
      </c>
      <c r="D55" s="7">
        <v>-3517.1699999999837</v>
      </c>
      <c r="E55" s="10">
        <v>-5.6274701992095111E-2</v>
      </c>
    </row>
    <row r="56" spans="1:5" x14ac:dyDescent="0.2">
      <c r="A56" s="6" t="s">
        <v>8</v>
      </c>
      <c r="B56" s="7">
        <v>2578892.6700000004</v>
      </c>
      <c r="C56" s="7">
        <v>2453999.9399999995</v>
      </c>
      <c r="D56" s="7">
        <v>124892.72999999905</v>
      </c>
      <c r="E56" s="10">
        <v>5.0893534251675261E-2</v>
      </c>
    </row>
    <row r="57" spans="1:5" x14ac:dyDescent="0.2">
      <c r="A57" s="8" t="s">
        <v>69</v>
      </c>
      <c r="B57" s="7">
        <v>181585.37</v>
      </c>
      <c r="C57" s="7">
        <v>204499.98999999996</v>
      </c>
      <c r="D57" s="7">
        <v>-22914.619999999966</v>
      </c>
      <c r="E57" s="10">
        <v>-0.11205193701965448</v>
      </c>
    </row>
    <row r="58" spans="1:5" x14ac:dyDescent="0.2">
      <c r="A58" s="8" t="s">
        <v>70</v>
      </c>
      <c r="B58" s="7">
        <v>193174.11</v>
      </c>
      <c r="C58" s="7">
        <v>204499.98999999996</v>
      </c>
      <c r="D58" s="7">
        <v>-11325.879999999976</v>
      </c>
      <c r="E58" s="10">
        <v>-5.5383278991847272E-2</v>
      </c>
    </row>
    <row r="59" spans="1:5" x14ac:dyDescent="0.2">
      <c r="A59" s="8" t="s">
        <v>71</v>
      </c>
      <c r="B59" s="7">
        <v>197197.90000000005</v>
      </c>
      <c r="C59" s="7">
        <v>204499.98999999996</v>
      </c>
      <c r="D59" s="7">
        <v>-7302.0899999999092</v>
      </c>
      <c r="E59" s="10">
        <v>-3.5707043310857424E-2</v>
      </c>
    </row>
    <row r="60" spans="1:5" x14ac:dyDescent="0.2">
      <c r="A60" s="8" t="s">
        <v>72</v>
      </c>
      <c r="B60" s="7">
        <v>221501.22999999995</v>
      </c>
      <c r="C60" s="7">
        <v>204500</v>
      </c>
      <c r="D60" s="7">
        <v>17001.229999999952</v>
      </c>
      <c r="E60" s="10">
        <v>8.3135599022004653E-2</v>
      </c>
    </row>
    <row r="61" spans="1:5" x14ac:dyDescent="0.2">
      <c r="A61" s="8" t="s">
        <v>73</v>
      </c>
      <c r="B61" s="7">
        <v>230059.44</v>
      </c>
      <c r="C61" s="7">
        <v>204500</v>
      </c>
      <c r="D61" s="7">
        <v>25559.440000000002</v>
      </c>
      <c r="E61" s="10">
        <v>0.12498503667481664</v>
      </c>
    </row>
    <row r="62" spans="1:5" x14ac:dyDescent="0.2">
      <c r="A62" s="8" t="s">
        <v>74</v>
      </c>
      <c r="B62" s="7">
        <v>242911.06</v>
      </c>
      <c r="C62" s="7">
        <v>204499.98999999996</v>
      </c>
      <c r="D62" s="7">
        <v>38411.070000000036</v>
      </c>
      <c r="E62" s="10">
        <v>0.18782920233883652</v>
      </c>
    </row>
    <row r="63" spans="1:5" x14ac:dyDescent="0.2">
      <c r="A63" s="8" t="s">
        <v>75</v>
      </c>
      <c r="B63" s="7">
        <v>176661.05000000002</v>
      </c>
      <c r="C63" s="7">
        <v>204500</v>
      </c>
      <c r="D63" s="7">
        <v>-27838.949999999983</v>
      </c>
      <c r="E63" s="10">
        <v>-0.13613178484107571</v>
      </c>
    </row>
    <row r="64" spans="1:5" x14ac:dyDescent="0.2">
      <c r="A64" s="8" t="s">
        <v>76</v>
      </c>
      <c r="B64" s="7">
        <v>207034.6</v>
      </c>
      <c r="C64" s="7">
        <v>204500</v>
      </c>
      <c r="D64" s="7">
        <v>2534.6000000000058</v>
      </c>
      <c r="E64" s="10">
        <v>1.2394132029339882E-2</v>
      </c>
    </row>
    <row r="65" spans="1:5" x14ac:dyDescent="0.2">
      <c r="A65" s="8" t="s">
        <v>77</v>
      </c>
      <c r="B65" s="7">
        <v>204223.79999999996</v>
      </c>
      <c r="C65" s="7">
        <v>204499.98999999996</v>
      </c>
      <c r="D65" s="7">
        <v>-276.19000000000233</v>
      </c>
      <c r="E65" s="10">
        <v>-1.3505624132304475E-3</v>
      </c>
    </row>
    <row r="66" spans="1:5" x14ac:dyDescent="0.2">
      <c r="A66" s="8" t="s">
        <v>78</v>
      </c>
      <c r="B66" s="7">
        <v>239332.76999999996</v>
      </c>
      <c r="C66" s="7">
        <v>204500</v>
      </c>
      <c r="D66" s="7">
        <v>34832.76999999996</v>
      </c>
      <c r="E66" s="10">
        <v>0.1703313936430316</v>
      </c>
    </row>
    <row r="67" spans="1:5" x14ac:dyDescent="0.2">
      <c r="A67" s="8" t="s">
        <v>79</v>
      </c>
      <c r="B67" s="7">
        <v>245422.44000000003</v>
      </c>
      <c r="C67" s="7">
        <v>204499.98999999996</v>
      </c>
      <c r="D67" s="7">
        <v>40922.45000000007</v>
      </c>
      <c r="E67" s="10">
        <v>0.20010978973642041</v>
      </c>
    </row>
    <row r="68" spans="1:5" x14ac:dyDescent="0.2">
      <c r="A68" s="8" t="s">
        <v>80</v>
      </c>
      <c r="B68" s="7">
        <v>239788.90000000002</v>
      </c>
      <c r="C68" s="7">
        <v>204500</v>
      </c>
      <c r="D68" s="7">
        <v>35288.900000000023</v>
      </c>
      <c r="E68" s="10">
        <v>0.17256185819070916</v>
      </c>
    </row>
    <row r="69" spans="1:5" x14ac:dyDescent="0.2">
      <c r="A69" s="6" t="s">
        <v>67</v>
      </c>
      <c r="B69" s="7">
        <v>5935726.1999999993</v>
      </c>
      <c r="C69" s="7">
        <v>5817600.1599999983</v>
      </c>
      <c r="D69" s="7">
        <v>118126.04000000376</v>
      </c>
      <c r="E69" s="10">
        <v>2.0304943060920809E-2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1B3C-5E7C-6E49-BB8C-81DD88414D2F}">
  <dimension ref="A2:H29"/>
  <sheetViews>
    <sheetView workbookViewId="0">
      <selection activeCell="H11" sqref="H11"/>
    </sheetView>
  </sheetViews>
  <sheetFormatPr baseColWidth="10" defaultRowHeight="15" x14ac:dyDescent="0.2"/>
  <cols>
    <col min="1" max="1" width="20.5" bestFit="1" customWidth="1"/>
    <col min="2" max="2" width="23.1640625" bestFit="1" customWidth="1"/>
    <col min="3" max="3" width="23.6640625" bestFit="1" customWidth="1"/>
    <col min="4" max="4" width="13.83203125" customWidth="1"/>
    <col min="5" max="5" width="21.1640625" bestFit="1" customWidth="1"/>
    <col min="6" max="6" width="24.1640625" bestFit="1" customWidth="1"/>
    <col min="7" max="7" width="21.6640625" bestFit="1" customWidth="1"/>
    <col min="8" max="8" width="26" customWidth="1"/>
  </cols>
  <sheetData>
    <row r="2" spans="1:8" x14ac:dyDescent="0.2">
      <c r="G2" t="s">
        <v>88</v>
      </c>
    </row>
    <row r="3" spans="1:8" x14ac:dyDescent="0.2">
      <c r="A3" s="5" t="s">
        <v>65</v>
      </c>
      <c r="B3" t="s">
        <v>66</v>
      </c>
      <c r="C3" t="s">
        <v>68</v>
      </c>
      <c r="D3" t="s">
        <v>85</v>
      </c>
      <c r="E3" t="s">
        <v>86</v>
      </c>
      <c r="F3" t="s">
        <v>87</v>
      </c>
      <c r="G3" t="s">
        <v>89</v>
      </c>
    </row>
    <row r="4" spans="1:8" x14ac:dyDescent="0.2">
      <c r="A4" s="6" t="s">
        <v>40</v>
      </c>
      <c r="B4" s="7">
        <v>1411400.8499999999</v>
      </c>
      <c r="C4" s="7">
        <v>1398000.0600000003</v>
      </c>
      <c r="D4" s="7">
        <v>13400.789999999339</v>
      </c>
      <c r="E4" s="10">
        <v>9.5856862838756534E-3</v>
      </c>
      <c r="F4" s="9">
        <v>0.2377806526857657</v>
      </c>
      <c r="G4" s="11">
        <f>GETPIVOTDATA("Sum of Budget Amount (NZD)",$A$3,"Department","Sales","Account Category","Sales Commissions")/GETPIVOTDATA("Sum of Budget Amount (NZD)",$A$3,"Department","Sales","Account Category","Revenue")</f>
        <v>0.1</v>
      </c>
    </row>
    <row r="5" spans="1:8" x14ac:dyDescent="0.2">
      <c r="A5" s="8" t="s">
        <v>43</v>
      </c>
      <c r="B5" s="7">
        <v>141544.46</v>
      </c>
      <c r="C5" s="7">
        <v>144000</v>
      </c>
      <c r="D5" s="7">
        <v>-2455.5400000000081</v>
      </c>
      <c r="E5" s="10">
        <v>-1.7052361111111167E-2</v>
      </c>
      <c r="F5" s="9">
        <v>2.3846190883939355E-2</v>
      </c>
    </row>
    <row r="6" spans="1:8" x14ac:dyDescent="0.2">
      <c r="A6" s="8" t="s">
        <v>34</v>
      </c>
      <c r="B6" s="7">
        <v>63818.45</v>
      </c>
      <c r="C6" s="7">
        <v>60000.01999999999</v>
      </c>
      <c r="D6" s="7">
        <v>3818.4300000000076</v>
      </c>
      <c r="E6" s="10">
        <v>6.3640478786507207E-2</v>
      </c>
      <c r="F6" s="9">
        <v>1.07515825106623E-2</v>
      </c>
      <c r="G6" t="s">
        <v>90</v>
      </c>
    </row>
    <row r="7" spans="1:8" x14ac:dyDescent="0.2">
      <c r="A7" s="8" t="s">
        <v>41</v>
      </c>
      <c r="B7" s="7">
        <v>1150279.2</v>
      </c>
      <c r="C7" s="7">
        <v>1140000.0400000003</v>
      </c>
      <c r="D7" s="7">
        <v>10279.159999999683</v>
      </c>
      <c r="E7" s="10">
        <v>9.0168067011643978E-3</v>
      </c>
      <c r="F7" s="9">
        <v>0.19378912726803335</v>
      </c>
      <c r="G7">
        <f>G4*GETPIVOTDATA("Sum of Actual Amount (NZD)",$A$3,"Department","Sales","Account Category","Revenue")</f>
        <v>229125.18000000005</v>
      </c>
    </row>
    <row r="8" spans="1:8" x14ac:dyDescent="0.2">
      <c r="A8" s="8" t="s">
        <v>20</v>
      </c>
      <c r="B8" s="7">
        <v>55758.740000000005</v>
      </c>
      <c r="C8" s="7">
        <v>54000</v>
      </c>
      <c r="D8" s="7">
        <v>1758.7400000000052</v>
      </c>
      <c r="E8" s="10">
        <v>3.2569259259259353E-2</v>
      </c>
      <c r="F8" s="9">
        <v>9.3937520231307178E-3</v>
      </c>
    </row>
    <row r="9" spans="1:8" x14ac:dyDescent="0.2">
      <c r="A9" s="6" t="s">
        <v>52</v>
      </c>
      <c r="B9" s="7">
        <v>638591.99000000011</v>
      </c>
      <c r="C9" s="7">
        <v>657600.0399999998</v>
      </c>
      <c r="D9" s="7">
        <v>-19008.050000000279</v>
      </c>
      <c r="E9" s="10">
        <v>-2.8905183764891922E-2</v>
      </c>
      <c r="F9" s="9">
        <v>0.10758447551034279</v>
      </c>
      <c r="G9" t="s">
        <v>91</v>
      </c>
    </row>
    <row r="10" spans="1:8" x14ac:dyDescent="0.2">
      <c r="A10" s="8" t="s">
        <v>47</v>
      </c>
      <c r="B10" s="7">
        <v>94121.900000000009</v>
      </c>
      <c r="C10" s="7">
        <v>96000.039999999979</v>
      </c>
      <c r="D10" s="7">
        <v>-1878.1399999999703</v>
      </c>
      <c r="E10" s="10">
        <v>-1.956395018168712E-2</v>
      </c>
      <c r="F10" s="9">
        <v>1.5856846631503996E-2</v>
      </c>
      <c r="G10">
        <f>GETPIVOTDATA("Sum of Actual Amount (NZD)",$A$3,"Department","Sales","Account Category","Sales Commissions")-G7</f>
        <v>-20505.660000000062</v>
      </c>
      <c r="H10" t="s">
        <v>92</v>
      </c>
    </row>
    <row r="11" spans="1:8" x14ac:dyDescent="0.2">
      <c r="A11" s="8" t="s">
        <v>34</v>
      </c>
      <c r="B11" s="7">
        <v>81076.020000000019</v>
      </c>
      <c r="C11" s="7">
        <v>83999.950000000012</v>
      </c>
      <c r="D11" s="7">
        <v>-2923.929999999993</v>
      </c>
      <c r="E11" s="10">
        <v>-3.480871119566134E-2</v>
      </c>
      <c r="F11" s="9">
        <v>1.3658989189898958E-2</v>
      </c>
    </row>
    <row r="12" spans="1:8" x14ac:dyDescent="0.2">
      <c r="A12" s="8" t="s">
        <v>41</v>
      </c>
      <c r="B12" s="7">
        <v>440881.14999999997</v>
      </c>
      <c r="C12" s="7">
        <v>456000.04999999987</v>
      </c>
      <c r="D12" s="7">
        <v>-15118.899999999907</v>
      </c>
      <c r="E12" s="10">
        <v>-3.3155478820670985E-2</v>
      </c>
      <c r="F12" s="9">
        <v>7.4275856928845529E-2</v>
      </c>
    </row>
    <row r="13" spans="1:8" x14ac:dyDescent="0.2">
      <c r="A13" s="8" t="s">
        <v>20</v>
      </c>
      <c r="B13" s="7">
        <v>22512.920000000006</v>
      </c>
      <c r="C13" s="7">
        <v>21600</v>
      </c>
      <c r="D13" s="7">
        <v>912.92000000000553</v>
      </c>
      <c r="E13" s="10">
        <v>4.2264814814815067E-2</v>
      </c>
      <c r="F13" s="9">
        <v>3.7927827600942924E-3</v>
      </c>
    </row>
    <row r="14" spans="1:8" x14ac:dyDescent="0.2">
      <c r="A14" s="6" t="s">
        <v>23</v>
      </c>
      <c r="B14" s="7">
        <v>550244.47999999986</v>
      </c>
      <c r="C14" s="7">
        <v>558000.02</v>
      </c>
      <c r="D14" s="7">
        <v>-7755.5399999998044</v>
      </c>
      <c r="E14" s="10">
        <v>-1.3898816706135259E-2</v>
      </c>
      <c r="F14" s="9">
        <v>9.2700448346151793E-2</v>
      </c>
    </row>
    <row r="15" spans="1:8" x14ac:dyDescent="0.2">
      <c r="A15" s="8" t="s">
        <v>24</v>
      </c>
      <c r="B15" s="7">
        <v>412156.43999999989</v>
      </c>
      <c r="C15" s="7">
        <v>420000.05</v>
      </c>
      <c r="D15" s="7">
        <v>-7843.6100000001024</v>
      </c>
      <c r="E15" s="10">
        <v>-1.867525968151695E-2</v>
      </c>
      <c r="F15" s="9">
        <v>6.9436565318663088E-2</v>
      </c>
    </row>
    <row r="16" spans="1:8" x14ac:dyDescent="0.2">
      <c r="A16" s="8" t="s">
        <v>34</v>
      </c>
      <c r="B16" s="7">
        <v>70987.489999999991</v>
      </c>
      <c r="C16" s="7">
        <v>72000</v>
      </c>
      <c r="D16" s="7">
        <v>-1012.5100000000093</v>
      </c>
      <c r="E16" s="10">
        <v>-1.4062638888889019E-2</v>
      </c>
      <c r="F16" s="9">
        <v>1.195936059180088E-2</v>
      </c>
    </row>
    <row r="17" spans="1:6" x14ac:dyDescent="0.2">
      <c r="A17" s="8" t="s">
        <v>20</v>
      </c>
      <c r="B17" s="7">
        <v>36758.980000000003</v>
      </c>
      <c r="C17" s="7">
        <v>36000</v>
      </c>
      <c r="D17" s="7">
        <v>758.9800000000032</v>
      </c>
      <c r="E17" s="10">
        <v>2.1082777777777867E-2</v>
      </c>
      <c r="F17" s="9">
        <v>6.1928361857391603E-3</v>
      </c>
    </row>
    <row r="18" spans="1:6" x14ac:dyDescent="0.2">
      <c r="A18" s="8" t="s">
        <v>17</v>
      </c>
      <c r="B18" s="7">
        <v>30341.57</v>
      </c>
      <c r="C18" s="7">
        <v>29999.970000000005</v>
      </c>
      <c r="D18" s="7">
        <v>341.59999999999491</v>
      </c>
      <c r="E18" s="10">
        <v>1.1386678053344548E-2</v>
      </c>
      <c r="F18" s="9">
        <v>5.111686249948658E-3</v>
      </c>
    </row>
    <row r="19" spans="1:6" x14ac:dyDescent="0.2">
      <c r="A19" s="6" t="s">
        <v>46</v>
      </c>
      <c r="B19" s="7">
        <v>756596.2100000002</v>
      </c>
      <c r="C19" s="7">
        <v>750000.1</v>
      </c>
      <c r="D19" s="7">
        <v>6596.1099999990547</v>
      </c>
      <c r="E19" s="10">
        <v>8.7948121606904409E-3</v>
      </c>
      <c r="F19" s="9">
        <v>0.12746480961335449</v>
      </c>
    </row>
    <row r="20" spans="1:6" x14ac:dyDescent="0.2">
      <c r="A20" s="8" t="s">
        <v>47</v>
      </c>
      <c r="B20" s="7">
        <v>182606.98999999996</v>
      </c>
      <c r="C20" s="7">
        <v>180000</v>
      </c>
      <c r="D20" s="7">
        <v>2606.9899999999616</v>
      </c>
      <c r="E20" s="10">
        <v>1.4483277777777564E-2</v>
      </c>
      <c r="F20" s="9">
        <v>3.076405208852119E-2</v>
      </c>
    </row>
    <row r="21" spans="1:6" x14ac:dyDescent="0.2">
      <c r="A21" s="8" t="s">
        <v>34</v>
      </c>
      <c r="B21" s="7">
        <v>41623.999999999993</v>
      </c>
      <c r="C21" s="7">
        <v>42000.039999999986</v>
      </c>
      <c r="D21" s="7">
        <v>-376.0399999999936</v>
      </c>
      <c r="E21" s="10">
        <v>-8.9533248063571776E-3</v>
      </c>
      <c r="F21" s="9">
        <v>7.0124528318034601E-3</v>
      </c>
    </row>
    <row r="22" spans="1:6" x14ac:dyDescent="0.2">
      <c r="A22" s="8" t="s">
        <v>41</v>
      </c>
      <c r="B22" s="7">
        <v>508956.68000000017</v>
      </c>
      <c r="C22" s="7">
        <v>504000</v>
      </c>
      <c r="D22" s="7">
        <v>4956.6800000001676</v>
      </c>
      <c r="E22" s="10">
        <v>9.8346825396828721E-3</v>
      </c>
      <c r="F22" s="9">
        <v>8.5744635593198379E-2</v>
      </c>
    </row>
    <row r="23" spans="1:6" x14ac:dyDescent="0.2">
      <c r="A23" s="8" t="s">
        <v>20</v>
      </c>
      <c r="B23" s="7">
        <v>23408.54</v>
      </c>
      <c r="C23" s="7">
        <v>24000.05999999999</v>
      </c>
      <c r="D23" s="7">
        <v>-591.51999999998952</v>
      </c>
      <c r="E23" s="10">
        <v>-2.4646605050153616E-2</v>
      </c>
      <c r="F23" s="9">
        <v>3.9436690998314577E-3</v>
      </c>
    </row>
    <row r="24" spans="1:6" x14ac:dyDescent="0.2">
      <c r="A24" s="6" t="s">
        <v>8</v>
      </c>
      <c r="B24" s="7">
        <v>2578892.6700000004</v>
      </c>
      <c r="C24" s="7">
        <v>2453999.9400000004</v>
      </c>
      <c r="D24" s="7">
        <v>124892.72999999905</v>
      </c>
      <c r="E24" s="10">
        <v>5.089353425167524E-2</v>
      </c>
      <c r="F24" s="9">
        <v>0.43446961384438526</v>
      </c>
    </row>
    <row r="25" spans="1:6" x14ac:dyDescent="0.2">
      <c r="A25" s="8" t="s">
        <v>10</v>
      </c>
      <c r="B25" s="7">
        <v>2291251.8000000003</v>
      </c>
      <c r="C25" s="7">
        <v>2160000</v>
      </c>
      <c r="D25" s="7">
        <v>131251.80000000028</v>
      </c>
      <c r="E25" s="10">
        <v>6.0764722222222352E-2</v>
      </c>
      <c r="F25" s="9">
        <v>0.38601035876621131</v>
      </c>
    </row>
    <row r="26" spans="1:6" x14ac:dyDescent="0.2">
      <c r="A26" s="8" t="s">
        <v>14</v>
      </c>
      <c r="B26" s="7">
        <v>208619.51999999999</v>
      </c>
      <c r="C26" s="7">
        <v>216000</v>
      </c>
      <c r="D26" s="7">
        <v>-7380.4800000000105</v>
      </c>
      <c r="E26" s="10">
        <v>-3.4168888888888936E-2</v>
      </c>
      <c r="F26" s="9">
        <v>3.5146418984083189E-2</v>
      </c>
    </row>
    <row r="27" spans="1:6" x14ac:dyDescent="0.2">
      <c r="A27" s="8" t="s">
        <v>20</v>
      </c>
      <c r="B27" s="7">
        <v>30374.979999999996</v>
      </c>
      <c r="C27" s="7">
        <v>29999.970000000008</v>
      </c>
      <c r="D27" s="7">
        <v>375.00999999998749</v>
      </c>
      <c r="E27" s="10">
        <v>1.2500345833678747E-2</v>
      </c>
      <c r="F27" s="9">
        <v>5.1173148788432989E-3</v>
      </c>
    </row>
    <row r="28" spans="1:6" x14ac:dyDescent="0.2">
      <c r="A28" s="8" t="s">
        <v>17</v>
      </c>
      <c r="B28" s="7">
        <v>48646.37</v>
      </c>
      <c r="C28" s="7">
        <v>47999.97</v>
      </c>
      <c r="D28" s="7">
        <v>646.40000000000146</v>
      </c>
      <c r="E28" s="10">
        <v>1.3466675083338623E-2</v>
      </c>
      <c r="F28" s="9">
        <v>8.1955212152474283E-3</v>
      </c>
    </row>
    <row r="29" spans="1:6" x14ac:dyDescent="0.2">
      <c r="A29" s="6" t="s">
        <v>84</v>
      </c>
      <c r="B29" s="7">
        <v>5935726.2000000002</v>
      </c>
      <c r="C29" s="7">
        <v>5817600.1600000001</v>
      </c>
      <c r="D29" s="7">
        <v>118126.04000000283</v>
      </c>
      <c r="E29" s="10">
        <v>2.0304943060920653E-2</v>
      </c>
      <c r="F29" s="9">
        <v>1</v>
      </c>
    </row>
  </sheetData>
  <conditionalFormatting pivot="1" sqref="D5:D8 D10:D13 D15:D18 D20:D23 D26:D28">
    <cfRule type="cellIs" dxfId="7" priority="4" operator="lessThan">
      <formula>0</formula>
    </cfRule>
  </conditionalFormatting>
  <conditionalFormatting pivot="1" sqref="D5:D8 D10:D13 D15:D18 D20:D23 D26:D28">
    <cfRule type="cellIs" dxfId="8" priority="3" operator="greaterThan">
      <formula>0</formula>
    </cfRule>
  </conditionalFormatting>
  <conditionalFormatting pivot="1" sqref="D25">
    <cfRule type="cellIs" dxfId="6" priority="2" operator="greaterThan">
      <formula>0</formula>
    </cfRule>
  </conditionalFormatting>
  <conditionalFormatting pivot="1" sqref="D25">
    <cfRule type="cellIs" dxfId="5"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39"/>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12" customWidth="1"/>
    <col min="3" max="3" width="14" customWidth="1"/>
    <col min="4" max="4" width="10" customWidth="1"/>
    <col min="5" max="5" width="20" customWidth="1"/>
    <col min="6" max="6" width="24" customWidth="1"/>
    <col min="7" max="8" width="18" customWidth="1"/>
  </cols>
  <sheetData>
    <row r="1" spans="1:8" x14ac:dyDescent="0.2">
      <c r="A1" s="1" t="s">
        <v>0</v>
      </c>
      <c r="B1" s="1" t="s">
        <v>1</v>
      </c>
      <c r="C1" s="1" t="s">
        <v>2</v>
      </c>
      <c r="D1" s="1" t="s">
        <v>3</v>
      </c>
      <c r="E1" s="1" t="s">
        <v>4</v>
      </c>
      <c r="F1" s="1" t="s">
        <v>5</v>
      </c>
      <c r="G1" s="1" t="s">
        <v>6</v>
      </c>
      <c r="H1" s="1" t="s">
        <v>7</v>
      </c>
    </row>
    <row r="2" spans="1:8" x14ac:dyDescent="0.2">
      <c r="A2" s="2">
        <v>100001</v>
      </c>
      <c r="B2" s="3">
        <v>46027</v>
      </c>
      <c r="C2" s="2" t="s">
        <v>8</v>
      </c>
      <c r="D2" s="2" t="s">
        <v>9</v>
      </c>
      <c r="E2" s="2" t="s">
        <v>10</v>
      </c>
      <c r="F2" s="2" t="s">
        <v>11</v>
      </c>
      <c r="G2" s="4">
        <v>74392.11</v>
      </c>
      <c r="H2" s="4">
        <v>90000</v>
      </c>
    </row>
    <row r="3" spans="1:8" x14ac:dyDescent="0.2">
      <c r="A3" s="2">
        <v>100002</v>
      </c>
      <c r="B3" s="3">
        <v>46041</v>
      </c>
      <c r="C3" s="2" t="s">
        <v>8</v>
      </c>
      <c r="D3" s="2" t="s">
        <v>12</v>
      </c>
      <c r="E3" s="2" t="s">
        <v>10</v>
      </c>
      <c r="F3" s="2" t="s">
        <v>13</v>
      </c>
      <c r="G3" s="4">
        <v>85885.27</v>
      </c>
      <c r="H3" s="4">
        <v>90000</v>
      </c>
    </row>
    <row r="4" spans="1:8" x14ac:dyDescent="0.2">
      <c r="A4" s="2">
        <v>100003</v>
      </c>
      <c r="B4" s="3">
        <v>46030</v>
      </c>
      <c r="C4" s="2" t="s">
        <v>8</v>
      </c>
      <c r="D4" s="2" t="s">
        <v>9</v>
      </c>
      <c r="E4" s="2" t="s">
        <v>14</v>
      </c>
      <c r="F4" s="2" t="s">
        <v>15</v>
      </c>
      <c r="G4" s="4">
        <v>7171.63</v>
      </c>
      <c r="H4" s="4">
        <v>9000</v>
      </c>
    </row>
    <row r="5" spans="1:8" x14ac:dyDescent="0.2">
      <c r="A5" s="2">
        <v>100004</v>
      </c>
      <c r="B5" s="3">
        <v>46043</v>
      </c>
      <c r="C5" s="2" t="s">
        <v>8</v>
      </c>
      <c r="D5" s="2" t="s">
        <v>12</v>
      </c>
      <c r="E5" s="2" t="s">
        <v>14</v>
      </c>
      <c r="F5" s="2" t="s">
        <v>15</v>
      </c>
      <c r="G5" s="4">
        <v>7644.77</v>
      </c>
      <c r="H5" s="4">
        <v>9000</v>
      </c>
    </row>
    <row r="6" spans="1:8" x14ac:dyDescent="0.2">
      <c r="A6" s="2">
        <v>100005</v>
      </c>
      <c r="B6" s="3">
        <v>46048</v>
      </c>
      <c r="C6" s="2" t="s">
        <v>8</v>
      </c>
      <c r="D6" s="2" t="s">
        <v>16</v>
      </c>
      <c r="E6" s="2" t="s">
        <v>17</v>
      </c>
      <c r="F6" s="2" t="s">
        <v>18</v>
      </c>
      <c r="G6" s="4">
        <v>1392.84</v>
      </c>
      <c r="H6" s="4">
        <v>1333.33</v>
      </c>
    </row>
    <row r="7" spans="1:8" x14ac:dyDescent="0.2">
      <c r="A7" s="2">
        <v>100006</v>
      </c>
      <c r="B7" s="3">
        <v>46033</v>
      </c>
      <c r="C7" s="2" t="s">
        <v>8</v>
      </c>
      <c r="D7" s="2" t="s">
        <v>9</v>
      </c>
      <c r="E7" s="2" t="s">
        <v>17</v>
      </c>
      <c r="F7" s="2" t="s">
        <v>19</v>
      </c>
      <c r="G7" s="4">
        <v>1465.43</v>
      </c>
      <c r="H7" s="4">
        <v>1333.33</v>
      </c>
    </row>
    <row r="8" spans="1:8" x14ac:dyDescent="0.2">
      <c r="A8" s="2">
        <v>100007</v>
      </c>
      <c r="B8" s="3">
        <v>46047</v>
      </c>
      <c r="C8" s="2" t="s">
        <v>8</v>
      </c>
      <c r="D8" s="2" t="s">
        <v>9</v>
      </c>
      <c r="E8" s="2" t="s">
        <v>17</v>
      </c>
      <c r="F8" s="2" t="s">
        <v>19</v>
      </c>
      <c r="G8" s="4">
        <v>1143.54</v>
      </c>
      <c r="H8" s="4">
        <v>1333.33</v>
      </c>
    </row>
    <row r="9" spans="1:8" x14ac:dyDescent="0.2">
      <c r="A9" s="2">
        <v>100008</v>
      </c>
      <c r="B9" s="3">
        <v>46034</v>
      </c>
      <c r="C9" s="2" t="s">
        <v>8</v>
      </c>
      <c r="D9" s="2" t="s">
        <v>9</v>
      </c>
      <c r="E9" s="2" t="s">
        <v>20</v>
      </c>
      <c r="F9" s="2" t="s">
        <v>21</v>
      </c>
      <c r="G9" s="4">
        <v>1174.95</v>
      </c>
      <c r="H9" s="4">
        <v>1250</v>
      </c>
    </row>
    <row r="10" spans="1:8" x14ac:dyDescent="0.2">
      <c r="A10" s="2">
        <v>100009</v>
      </c>
      <c r="B10" s="3">
        <v>46048</v>
      </c>
      <c r="C10" s="2" t="s">
        <v>8</v>
      </c>
      <c r="D10" s="2" t="s">
        <v>16</v>
      </c>
      <c r="E10" s="2" t="s">
        <v>20</v>
      </c>
      <c r="F10" s="2" t="s">
        <v>22</v>
      </c>
      <c r="G10" s="4">
        <v>1314.83</v>
      </c>
      <c r="H10" s="4">
        <v>1250</v>
      </c>
    </row>
    <row r="11" spans="1:8" x14ac:dyDescent="0.2">
      <c r="A11" s="2">
        <v>100010</v>
      </c>
      <c r="B11" s="3">
        <v>46035</v>
      </c>
      <c r="C11" s="2" t="s">
        <v>23</v>
      </c>
      <c r="D11" s="2" t="s">
        <v>12</v>
      </c>
      <c r="E11" s="2" t="s">
        <v>24</v>
      </c>
      <c r="F11" s="2" t="s">
        <v>25</v>
      </c>
      <c r="G11" s="4">
        <v>5686.89</v>
      </c>
      <c r="H11" s="4">
        <v>7000</v>
      </c>
    </row>
    <row r="12" spans="1:8" x14ac:dyDescent="0.2">
      <c r="A12" s="2">
        <v>100011</v>
      </c>
      <c r="B12" s="3">
        <v>46043</v>
      </c>
      <c r="C12" s="2" t="s">
        <v>23</v>
      </c>
      <c r="D12" s="2" t="s">
        <v>12</v>
      </c>
      <c r="E12" s="2" t="s">
        <v>24</v>
      </c>
      <c r="F12" s="2" t="s">
        <v>26</v>
      </c>
      <c r="G12" s="4">
        <v>6276.12</v>
      </c>
      <c r="H12" s="4">
        <v>7000</v>
      </c>
    </row>
    <row r="13" spans="1:8" x14ac:dyDescent="0.2">
      <c r="A13" s="2">
        <v>100012</v>
      </c>
      <c r="B13" s="3">
        <v>46045</v>
      </c>
      <c r="C13" s="2" t="s">
        <v>23</v>
      </c>
      <c r="D13" s="2" t="s">
        <v>16</v>
      </c>
      <c r="E13" s="2" t="s">
        <v>24</v>
      </c>
      <c r="F13" s="2" t="s">
        <v>25</v>
      </c>
      <c r="G13" s="4">
        <v>7270.73</v>
      </c>
      <c r="H13" s="4">
        <v>7000</v>
      </c>
    </row>
    <row r="14" spans="1:8" x14ac:dyDescent="0.2">
      <c r="A14" s="2">
        <v>100013</v>
      </c>
      <c r="B14" s="3">
        <v>46047</v>
      </c>
      <c r="C14" s="2" t="s">
        <v>23</v>
      </c>
      <c r="D14" s="2" t="s">
        <v>9</v>
      </c>
      <c r="E14" s="2" t="s">
        <v>24</v>
      </c>
      <c r="F14" s="2" t="s">
        <v>27</v>
      </c>
      <c r="G14" s="4">
        <v>7564.42</v>
      </c>
      <c r="H14" s="4">
        <v>7000</v>
      </c>
    </row>
    <row r="15" spans="1:8" x14ac:dyDescent="0.2">
      <c r="A15" s="2">
        <v>100014</v>
      </c>
      <c r="B15" s="3">
        <v>46050</v>
      </c>
      <c r="C15" s="2" t="s">
        <v>23</v>
      </c>
      <c r="D15" s="2" t="s">
        <v>9</v>
      </c>
      <c r="E15" s="2" t="s">
        <v>24</v>
      </c>
      <c r="F15" s="2" t="s">
        <v>25</v>
      </c>
      <c r="G15" s="4">
        <v>8243.61</v>
      </c>
      <c r="H15" s="4">
        <v>7000</v>
      </c>
    </row>
    <row r="16" spans="1:8" x14ac:dyDescent="0.2">
      <c r="A16" s="2">
        <v>100015</v>
      </c>
      <c r="B16" s="3">
        <v>46049</v>
      </c>
      <c r="C16" s="2" t="s">
        <v>23</v>
      </c>
      <c r="D16" s="2" t="s">
        <v>16</v>
      </c>
      <c r="E16" s="2" t="s">
        <v>20</v>
      </c>
      <c r="F16" s="2" t="s">
        <v>28</v>
      </c>
      <c r="G16" s="4">
        <v>586.02</v>
      </c>
      <c r="H16" s="4">
        <v>600</v>
      </c>
    </row>
    <row r="17" spans="1:8" x14ac:dyDescent="0.2">
      <c r="A17" s="2">
        <v>100016</v>
      </c>
      <c r="B17" s="3">
        <v>46029</v>
      </c>
      <c r="C17" s="2" t="s">
        <v>23</v>
      </c>
      <c r="D17" s="2" t="s">
        <v>9</v>
      </c>
      <c r="E17" s="2" t="s">
        <v>20</v>
      </c>
      <c r="F17" s="2" t="s">
        <v>29</v>
      </c>
      <c r="G17" s="4">
        <v>561.04999999999995</v>
      </c>
      <c r="H17" s="4">
        <v>600</v>
      </c>
    </row>
    <row r="18" spans="1:8" x14ac:dyDescent="0.2">
      <c r="A18" s="2">
        <v>100017</v>
      </c>
      <c r="B18" s="3">
        <v>46044</v>
      </c>
      <c r="C18" s="2" t="s">
        <v>23</v>
      </c>
      <c r="D18" s="2" t="s">
        <v>16</v>
      </c>
      <c r="E18" s="2" t="s">
        <v>20</v>
      </c>
      <c r="F18" s="2" t="s">
        <v>29</v>
      </c>
      <c r="G18" s="4">
        <v>660.55</v>
      </c>
      <c r="H18" s="4">
        <v>600</v>
      </c>
    </row>
    <row r="19" spans="1:8" x14ac:dyDescent="0.2">
      <c r="A19" s="2">
        <v>100018</v>
      </c>
      <c r="B19" s="3">
        <v>46028</v>
      </c>
      <c r="C19" s="2" t="s">
        <v>23</v>
      </c>
      <c r="D19" s="2" t="s">
        <v>9</v>
      </c>
      <c r="E19" s="2" t="s">
        <v>20</v>
      </c>
      <c r="F19" s="2" t="s">
        <v>30</v>
      </c>
      <c r="G19" s="4">
        <v>632.74</v>
      </c>
      <c r="H19" s="4">
        <v>600</v>
      </c>
    </row>
    <row r="20" spans="1:8" x14ac:dyDescent="0.2">
      <c r="A20" s="2">
        <v>100019</v>
      </c>
      <c r="B20" s="3">
        <v>46037</v>
      </c>
      <c r="C20" s="2" t="s">
        <v>23</v>
      </c>
      <c r="D20" s="2" t="s">
        <v>12</v>
      </c>
      <c r="E20" s="2" t="s">
        <v>20</v>
      </c>
      <c r="F20" s="2" t="s">
        <v>31</v>
      </c>
      <c r="G20" s="4">
        <v>523.44000000000005</v>
      </c>
      <c r="H20" s="4">
        <v>600</v>
      </c>
    </row>
    <row r="21" spans="1:8" x14ac:dyDescent="0.2">
      <c r="A21" s="2">
        <v>100020</v>
      </c>
      <c r="B21" s="3">
        <v>46030</v>
      </c>
      <c r="C21" s="2" t="s">
        <v>23</v>
      </c>
      <c r="D21" s="2" t="s">
        <v>12</v>
      </c>
      <c r="E21" s="2" t="s">
        <v>17</v>
      </c>
      <c r="F21" s="2" t="s">
        <v>19</v>
      </c>
      <c r="G21" s="4">
        <v>683.8</v>
      </c>
      <c r="H21" s="4">
        <v>625</v>
      </c>
    </row>
    <row r="22" spans="1:8" x14ac:dyDescent="0.2">
      <c r="A22" s="2">
        <v>100021</v>
      </c>
      <c r="B22" s="3">
        <v>46024</v>
      </c>
      <c r="C22" s="2" t="s">
        <v>23</v>
      </c>
      <c r="D22" s="2" t="s">
        <v>9</v>
      </c>
      <c r="E22" s="2" t="s">
        <v>17</v>
      </c>
      <c r="F22" s="2" t="s">
        <v>19</v>
      </c>
      <c r="G22" s="4">
        <v>540.33000000000004</v>
      </c>
      <c r="H22" s="4">
        <v>625</v>
      </c>
    </row>
    <row r="23" spans="1:8" x14ac:dyDescent="0.2">
      <c r="A23" s="2">
        <v>100022</v>
      </c>
      <c r="B23" s="3">
        <v>46029</v>
      </c>
      <c r="C23" s="2" t="s">
        <v>23</v>
      </c>
      <c r="D23" s="2" t="s">
        <v>16</v>
      </c>
      <c r="E23" s="2" t="s">
        <v>17</v>
      </c>
      <c r="F23" s="2" t="s">
        <v>32</v>
      </c>
      <c r="G23" s="4">
        <v>552.41999999999996</v>
      </c>
      <c r="H23" s="4">
        <v>625</v>
      </c>
    </row>
    <row r="24" spans="1:8" x14ac:dyDescent="0.2">
      <c r="A24" s="2">
        <v>100023</v>
      </c>
      <c r="B24" s="3">
        <v>46043</v>
      </c>
      <c r="C24" s="2" t="s">
        <v>23</v>
      </c>
      <c r="D24" s="2" t="s">
        <v>12</v>
      </c>
      <c r="E24" s="2" t="s">
        <v>17</v>
      </c>
      <c r="F24" s="2" t="s">
        <v>33</v>
      </c>
      <c r="G24" s="4">
        <v>567.09</v>
      </c>
      <c r="H24" s="4">
        <v>625</v>
      </c>
    </row>
    <row r="25" spans="1:8" x14ac:dyDescent="0.2">
      <c r="A25" s="2">
        <v>100024</v>
      </c>
      <c r="B25" s="3">
        <v>46031</v>
      </c>
      <c r="C25" s="2" t="s">
        <v>23</v>
      </c>
      <c r="D25" s="2" t="s">
        <v>12</v>
      </c>
      <c r="E25" s="2" t="s">
        <v>34</v>
      </c>
      <c r="F25" s="2" t="s">
        <v>35</v>
      </c>
      <c r="G25" s="4">
        <v>1175.31</v>
      </c>
      <c r="H25" s="4">
        <v>1200</v>
      </c>
    </row>
    <row r="26" spans="1:8" x14ac:dyDescent="0.2">
      <c r="A26" s="2">
        <v>100025</v>
      </c>
      <c r="B26" s="3">
        <v>46040</v>
      </c>
      <c r="C26" s="2" t="s">
        <v>23</v>
      </c>
      <c r="D26" s="2" t="s">
        <v>9</v>
      </c>
      <c r="E26" s="2" t="s">
        <v>34</v>
      </c>
      <c r="F26" s="2" t="s">
        <v>36</v>
      </c>
      <c r="G26" s="4">
        <v>1346.99</v>
      </c>
      <c r="H26" s="4">
        <v>1200</v>
      </c>
    </row>
    <row r="27" spans="1:8" x14ac:dyDescent="0.2">
      <c r="A27" s="2">
        <v>100026</v>
      </c>
      <c r="B27" s="3">
        <v>46041</v>
      </c>
      <c r="C27" s="2" t="s">
        <v>23</v>
      </c>
      <c r="D27" s="2" t="s">
        <v>12</v>
      </c>
      <c r="E27" s="2" t="s">
        <v>34</v>
      </c>
      <c r="F27" s="2" t="s">
        <v>37</v>
      </c>
      <c r="G27" s="4">
        <v>1250.75</v>
      </c>
      <c r="H27" s="4">
        <v>1200</v>
      </c>
    </row>
    <row r="28" spans="1:8" x14ac:dyDescent="0.2">
      <c r="A28" s="2">
        <v>100027</v>
      </c>
      <c r="B28" s="3">
        <v>46027</v>
      </c>
      <c r="C28" s="2" t="s">
        <v>23</v>
      </c>
      <c r="D28" s="2" t="s">
        <v>16</v>
      </c>
      <c r="E28" s="2" t="s">
        <v>34</v>
      </c>
      <c r="F28" s="2" t="s">
        <v>38</v>
      </c>
      <c r="G28" s="4">
        <v>1031.5899999999999</v>
      </c>
      <c r="H28" s="4">
        <v>1200</v>
      </c>
    </row>
    <row r="29" spans="1:8" x14ac:dyDescent="0.2">
      <c r="A29" s="2">
        <v>100028</v>
      </c>
      <c r="B29" s="3">
        <v>46024</v>
      </c>
      <c r="C29" s="2" t="s">
        <v>23</v>
      </c>
      <c r="D29" s="2" t="s">
        <v>16</v>
      </c>
      <c r="E29" s="2" t="s">
        <v>34</v>
      </c>
      <c r="F29" s="2" t="s">
        <v>39</v>
      </c>
      <c r="G29" s="4">
        <v>954.55</v>
      </c>
      <c r="H29" s="4">
        <v>1200</v>
      </c>
    </row>
    <row r="30" spans="1:8" x14ac:dyDescent="0.2">
      <c r="A30" s="2">
        <v>100029</v>
      </c>
      <c r="B30" s="3">
        <v>46044</v>
      </c>
      <c r="C30" s="2" t="s">
        <v>40</v>
      </c>
      <c r="D30" s="2" t="s">
        <v>12</v>
      </c>
      <c r="E30" s="2" t="s">
        <v>41</v>
      </c>
      <c r="F30" s="2" t="s">
        <v>42</v>
      </c>
      <c r="G30" s="4">
        <v>26283.05</v>
      </c>
      <c r="H30" s="4">
        <v>31666.67</v>
      </c>
    </row>
    <row r="31" spans="1:8" x14ac:dyDescent="0.2">
      <c r="A31" s="2">
        <v>100030</v>
      </c>
      <c r="B31" s="3">
        <v>46035</v>
      </c>
      <c r="C31" s="2" t="s">
        <v>40</v>
      </c>
      <c r="D31" s="2" t="s">
        <v>12</v>
      </c>
      <c r="E31" s="2" t="s">
        <v>41</v>
      </c>
      <c r="F31" s="2" t="s">
        <v>42</v>
      </c>
      <c r="G31" s="4">
        <v>24755.86</v>
      </c>
      <c r="H31" s="4">
        <v>31666.67</v>
      </c>
    </row>
    <row r="32" spans="1:8" x14ac:dyDescent="0.2">
      <c r="A32" s="2">
        <v>100031</v>
      </c>
      <c r="B32" s="3">
        <v>46040</v>
      </c>
      <c r="C32" s="2" t="s">
        <v>40</v>
      </c>
      <c r="D32" s="2" t="s">
        <v>12</v>
      </c>
      <c r="E32" s="2" t="s">
        <v>41</v>
      </c>
      <c r="F32" s="2" t="s">
        <v>42</v>
      </c>
      <c r="G32" s="4">
        <v>27730.720000000001</v>
      </c>
      <c r="H32" s="4">
        <v>31666.67</v>
      </c>
    </row>
    <row r="33" spans="1:8" x14ac:dyDescent="0.2">
      <c r="A33" s="2">
        <v>100032</v>
      </c>
      <c r="B33" s="3">
        <v>46047</v>
      </c>
      <c r="C33" s="2" t="s">
        <v>40</v>
      </c>
      <c r="D33" s="2" t="s">
        <v>12</v>
      </c>
      <c r="E33" s="2" t="s">
        <v>20</v>
      </c>
      <c r="F33" s="2" t="s">
        <v>28</v>
      </c>
      <c r="G33" s="4">
        <v>2682.89</v>
      </c>
      <c r="H33" s="4">
        <v>2250</v>
      </c>
    </row>
    <row r="34" spans="1:8" x14ac:dyDescent="0.2">
      <c r="A34" s="2">
        <v>100033</v>
      </c>
      <c r="B34" s="3">
        <v>46032</v>
      </c>
      <c r="C34" s="2" t="s">
        <v>40</v>
      </c>
      <c r="D34" s="2" t="s">
        <v>12</v>
      </c>
      <c r="E34" s="2" t="s">
        <v>20</v>
      </c>
      <c r="F34" s="2" t="s">
        <v>31</v>
      </c>
      <c r="G34" s="4">
        <v>2070.1999999999998</v>
      </c>
      <c r="H34" s="4">
        <v>2250</v>
      </c>
    </row>
    <row r="35" spans="1:8" x14ac:dyDescent="0.2">
      <c r="A35" s="2">
        <v>100034</v>
      </c>
      <c r="B35" s="3">
        <v>46046</v>
      </c>
      <c r="C35" s="2" t="s">
        <v>40</v>
      </c>
      <c r="D35" s="2" t="s">
        <v>16</v>
      </c>
      <c r="E35" s="2" t="s">
        <v>43</v>
      </c>
      <c r="F35" s="2" t="s">
        <v>44</v>
      </c>
      <c r="G35" s="4">
        <v>3006.49</v>
      </c>
      <c r="H35" s="4">
        <v>4000</v>
      </c>
    </row>
    <row r="36" spans="1:8" x14ac:dyDescent="0.2">
      <c r="A36" s="2">
        <v>100035</v>
      </c>
      <c r="B36" s="3">
        <v>46047</v>
      </c>
      <c r="C36" s="2" t="s">
        <v>40</v>
      </c>
      <c r="D36" s="2" t="s">
        <v>16</v>
      </c>
      <c r="E36" s="2" t="s">
        <v>43</v>
      </c>
      <c r="F36" s="2" t="s">
        <v>45</v>
      </c>
      <c r="G36" s="4">
        <v>4943.78</v>
      </c>
      <c r="H36" s="4">
        <v>4000</v>
      </c>
    </row>
    <row r="37" spans="1:8" x14ac:dyDescent="0.2">
      <c r="A37" s="2">
        <v>100036</v>
      </c>
      <c r="B37" s="3">
        <v>46050</v>
      </c>
      <c r="C37" s="2" t="s">
        <v>40</v>
      </c>
      <c r="D37" s="2" t="s">
        <v>12</v>
      </c>
      <c r="E37" s="2" t="s">
        <v>43</v>
      </c>
      <c r="F37" s="2" t="s">
        <v>44</v>
      </c>
      <c r="G37" s="4">
        <v>4825.26</v>
      </c>
      <c r="H37" s="4">
        <v>4000</v>
      </c>
    </row>
    <row r="38" spans="1:8" x14ac:dyDescent="0.2">
      <c r="A38" s="2">
        <v>100037</v>
      </c>
      <c r="B38" s="3">
        <v>46029</v>
      </c>
      <c r="C38" s="2" t="s">
        <v>40</v>
      </c>
      <c r="D38" s="2" t="s">
        <v>12</v>
      </c>
      <c r="E38" s="2" t="s">
        <v>34</v>
      </c>
      <c r="F38" s="2" t="s">
        <v>35</v>
      </c>
      <c r="G38" s="4">
        <v>1254.79</v>
      </c>
      <c r="H38" s="4">
        <v>1250</v>
      </c>
    </row>
    <row r="39" spans="1:8" x14ac:dyDescent="0.2">
      <c r="A39" s="2">
        <v>100038</v>
      </c>
      <c r="B39" s="3">
        <v>46040</v>
      </c>
      <c r="C39" s="2" t="s">
        <v>40</v>
      </c>
      <c r="D39" s="2" t="s">
        <v>16</v>
      </c>
      <c r="E39" s="2" t="s">
        <v>34</v>
      </c>
      <c r="F39" s="2" t="s">
        <v>38</v>
      </c>
      <c r="G39" s="4">
        <v>1414.07</v>
      </c>
      <c r="H39" s="4">
        <v>1250</v>
      </c>
    </row>
    <row r="40" spans="1:8" x14ac:dyDescent="0.2">
      <c r="A40" s="2">
        <v>100039</v>
      </c>
      <c r="B40" s="3">
        <v>46038</v>
      </c>
      <c r="C40" s="2" t="s">
        <v>40</v>
      </c>
      <c r="D40" s="2" t="s">
        <v>9</v>
      </c>
      <c r="E40" s="2" t="s">
        <v>34</v>
      </c>
      <c r="F40" s="2" t="s">
        <v>39</v>
      </c>
      <c r="G40" s="4">
        <v>1311.84</v>
      </c>
      <c r="H40" s="4">
        <v>1250</v>
      </c>
    </row>
    <row r="41" spans="1:8" x14ac:dyDescent="0.2">
      <c r="A41" s="2">
        <v>100040</v>
      </c>
      <c r="B41" s="3">
        <v>46049</v>
      </c>
      <c r="C41" s="2" t="s">
        <v>40</v>
      </c>
      <c r="D41" s="2" t="s">
        <v>9</v>
      </c>
      <c r="E41" s="2" t="s">
        <v>34</v>
      </c>
      <c r="F41" s="2" t="s">
        <v>36</v>
      </c>
      <c r="G41" s="4">
        <v>1518.19</v>
      </c>
      <c r="H41" s="4">
        <v>1250</v>
      </c>
    </row>
    <row r="42" spans="1:8" x14ac:dyDescent="0.2">
      <c r="A42" s="2">
        <v>100041</v>
      </c>
      <c r="B42" s="3">
        <v>46041</v>
      </c>
      <c r="C42" s="2" t="s">
        <v>46</v>
      </c>
      <c r="D42" s="2" t="s">
        <v>9</v>
      </c>
      <c r="E42" s="2" t="s">
        <v>41</v>
      </c>
      <c r="F42" s="2" t="s">
        <v>42</v>
      </c>
      <c r="G42" s="4">
        <v>12186.1</v>
      </c>
      <c r="H42" s="4">
        <v>14000</v>
      </c>
    </row>
    <row r="43" spans="1:8" x14ac:dyDescent="0.2">
      <c r="A43" s="2">
        <v>100042</v>
      </c>
      <c r="B43" s="3">
        <v>46049</v>
      </c>
      <c r="C43" s="2" t="s">
        <v>46</v>
      </c>
      <c r="D43" s="2" t="s">
        <v>9</v>
      </c>
      <c r="E43" s="2" t="s">
        <v>41</v>
      </c>
      <c r="F43" s="2" t="s">
        <v>42</v>
      </c>
      <c r="G43" s="4">
        <v>15623.35</v>
      </c>
      <c r="H43" s="4">
        <v>14000</v>
      </c>
    </row>
    <row r="44" spans="1:8" x14ac:dyDescent="0.2">
      <c r="A44" s="2">
        <v>100043</v>
      </c>
      <c r="B44" s="3">
        <v>46027</v>
      </c>
      <c r="C44" s="2" t="s">
        <v>46</v>
      </c>
      <c r="D44" s="2" t="s">
        <v>12</v>
      </c>
      <c r="E44" s="2" t="s">
        <v>41</v>
      </c>
      <c r="F44" s="2" t="s">
        <v>42</v>
      </c>
      <c r="G44" s="4">
        <v>15860.84</v>
      </c>
      <c r="H44" s="4">
        <v>14000</v>
      </c>
    </row>
    <row r="45" spans="1:8" x14ac:dyDescent="0.2">
      <c r="A45" s="2">
        <v>100044</v>
      </c>
      <c r="B45" s="3">
        <v>46042</v>
      </c>
      <c r="C45" s="2" t="s">
        <v>46</v>
      </c>
      <c r="D45" s="2" t="s">
        <v>16</v>
      </c>
      <c r="E45" s="2" t="s">
        <v>47</v>
      </c>
      <c r="F45" s="2" t="s">
        <v>48</v>
      </c>
      <c r="G45" s="4">
        <v>5069.18</v>
      </c>
      <c r="H45" s="4">
        <v>5000</v>
      </c>
    </row>
    <row r="46" spans="1:8" x14ac:dyDescent="0.2">
      <c r="A46" s="2">
        <v>100045</v>
      </c>
      <c r="B46" s="3">
        <v>46047</v>
      </c>
      <c r="C46" s="2" t="s">
        <v>46</v>
      </c>
      <c r="D46" s="2" t="s">
        <v>9</v>
      </c>
      <c r="E46" s="2" t="s">
        <v>47</v>
      </c>
      <c r="F46" s="2" t="s">
        <v>49</v>
      </c>
      <c r="G46" s="4">
        <v>6072.28</v>
      </c>
      <c r="H46" s="4">
        <v>5000</v>
      </c>
    </row>
    <row r="47" spans="1:8" x14ac:dyDescent="0.2">
      <c r="A47" s="2">
        <v>100046</v>
      </c>
      <c r="B47" s="3">
        <v>46044</v>
      </c>
      <c r="C47" s="2" t="s">
        <v>46</v>
      </c>
      <c r="D47" s="2" t="s">
        <v>12</v>
      </c>
      <c r="E47" s="2" t="s">
        <v>47</v>
      </c>
      <c r="F47" s="2" t="s">
        <v>50</v>
      </c>
      <c r="G47" s="4">
        <v>4529.29</v>
      </c>
      <c r="H47" s="4">
        <v>5000</v>
      </c>
    </row>
    <row r="48" spans="1:8" x14ac:dyDescent="0.2">
      <c r="A48" s="2">
        <v>100047</v>
      </c>
      <c r="B48" s="3">
        <v>46030</v>
      </c>
      <c r="C48" s="2" t="s">
        <v>46</v>
      </c>
      <c r="D48" s="2" t="s">
        <v>12</v>
      </c>
      <c r="E48" s="2" t="s">
        <v>20</v>
      </c>
      <c r="F48" s="2" t="s">
        <v>51</v>
      </c>
      <c r="G48" s="4">
        <v>390.3</v>
      </c>
      <c r="H48" s="4">
        <v>400</v>
      </c>
    </row>
    <row r="49" spans="1:8" x14ac:dyDescent="0.2">
      <c r="A49" s="2">
        <v>100048</v>
      </c>
      <c r="B49" s="3">
        <v>46041</v>
      </c>
      <c r="C49" s="2" t="s">
        <v>46</v>
      </c>
      <c r="D49" s="2" t="s">
        <v>9</v>
      </c>
      <c r="E49" s="2" t="s">
        <v>20</v>
      </c>
      <c r="F49" s="2" t="s">
        <v>30</v>
      </c>
      <c r="G49" s="4">
        <v>367.62</v>
      </c>
      <c r="H49" s="4">
        <v>400</v>
      </c>
    </row>
    <row r="50" spans="1:8" x14ac:dyDescent="0.2">
      <c r="A50" s="2">
        <v>100049</v>
      </c>
      <c r="B50" s="3">
        <v>46023</v>
      </c>
      <c r="C50" s="2" t="s">
        <v>46</v>
      </c>
      <c r="D50" s="2" t="s">
        <v>9</v>
      </c>
      <c r="E50" s="2" t="s">
        <v>20</v>
      </c>
      <c r="F50" s="2" t="s">
        <v>22</v>
      </c>
      <c r="G50" s="4">
        <v>417.69</v>
      </c>
      <c r="H50" s="4">
        <v>400</v>
      </c>
    </row>
    <row r="51" spans="1:8" x14ac:dyDescent="0.2">
      <c r="A51" s="2">
        <v>100050</v>
      </c>
      <c r="B51" s="3">
        <v>46030</v>
      </c>
      <c r="C51" s="2" t="s">
        <v>46</v>
      </c>
      <c r="D51" s="2" t="s">
        <v>12</v>
      </c>
      <c r="E51" s="2" t="s">
        <v>20</v>
      </c>
      <c r="F51" s="2" t="s">
        <v>22</v>
      </c>
      <c r="G51" s="4">
        <v>426.22</v>
      </c>
      <c r="H51" s="4">
        <v>400</v>
      </c>
    </row>
    <row r="52" spans="1:8" x14ac:dyDescent="0.2">
      <c r="A52" s="2">
        <v>100051</v>
      </c>
      <c r="B52" s="3">
        <v>46025</v>
      </c>
      <c r="C52" s="2" t="s">
        <v>46</v>
      </c>
      <c r="D52" s="2" t="s">
        <v>9</v>
      </c>
      <c r="E52" s="2" t="s">
        <v>20</v>
      </c>
      <c r="F52" s="2" t="s">
        <v>30</v>
      </c>
      <c r="G52" s="4">
        <v>471.93</v>
      </c>
      <c r="H52" s="4">
        <v>400</v>
      </c>
    </row>
    <row r="53" spans="1:8" x14ac:dyDescent="0.2">
      <c r="A53" s="2">
        <v>100052</v>
      </c>
      <c r="B53" s="3">
        <v>46029</v>
      </c>
      <c r="C53" s="2" t="s">
        <v>46</v>
      </c>
      <c r="D53" s="2" t="s">
        <v>16</v>
      </c>
      <c r="E53" s="2" t="s">
        <v>34</v>
      </c>
      <c r="F53" s="2" t="s">
        <v>38</v>
      </c>
      <c r="G53" s="4">
        <v>1265.24</v>
      </c>
      <c r="H53" s="4">
        <v>1166.67</v>
      </c>
    </row>
    <row r="54" spans="1:8" x14ac:dyDescent="0.2">
      <c r="A54" s="2">
        <v>100053</v>
      </c>
      <c r="B54" s="3">
        <v>46041</v>
      </c>
      <c r="C54" s="2" t="s">
        <v>46</v>
      </c>
      <c r="D54" s="2" t="s">
        <v>9</v>
      </c>
      <c r="E54" s="2" t="s">
        <v>34</v>
      </c>
      <c r="F54" s="2" t="s">
        <v>38</v>
      </c>
      <c r="G54" s="4">
        <v>1296.96</v>
      </c>
      <c r="H54" s="4">
        <v>1166.67</v>
      </c>
    </row>
    <row r="55" spans="1:8" x14ac:dyDescent="0.2">
      <c r="A55" s="2">
        <v>100054</v>
      </c>
      <c r="B55" s="3">
        <v>46038</v>
      </c>
      <c r="C55" s="2" t="s">
        <v>46</v>
      </c>
      <c r="D55" s="2" t="s">
        <v>16</v>
      </c>
      <c r="E55" s="2" t="s">
        <v>34</v>
      </c>
      <c r="F55" s="2" t="s">
        <v>37</v>
      </c>
      <c r="G55" s="4">
        <v>1016.75</v>
      </c>
      <c r="H55" s="4">
        <v>1166.67</v>
      </c>
    </row>
    <row r="56" spans="1:8" x14ac:dyDescent="0.2">
      <c r="A56" s="2">
        <v>100055</v>
      </c>
      <c r="B56" s="3">
        <v>46036</v>
      </c>
      <c r="C56" s="2" t="s">
        <v>52</v>
      </c>
      <c r="D56" s="2" t="s">
        <v>9</v>
      </c>
      <c r="E56" s="2" t="s">
        <v>41</v>
      </c>
      <c r="F56" s="2" t="s">
        <v>42</v>
      </c>
      <c r="G56" s="4">
        <v>10113.9</v>
      </c>
      <c r="H56" s="4">
        <v>12666.67</v>
      </c>
    </row>
    <row r="57" spans="1:8" x14ac:dyDescent="0.2">
      <c r="A57" s="2">
        <v>100056</v>
      </c>
      <c r="B57" s="3">
        <v>46050</v>
      </c>
      <c r="C57" s="2" t="s">
        <v>52</v>
      </c>
      <c r="D57" s="2" t="s">
        <v>12</v>
      </c>
      <c r="E57" s="2" t="s">
        <v>41</v>
      </c>
      <c r="F57" s="2" t="s">
        <v>42</v>
      </c>
      <c r="G57" s="4">
        <v>12103.65</v>
      </c>
      <c r="H57" s="4">
        <v>12666.67</v>
      </c>
    </row>
    <row r="58" spans="1:8" x14ac:dyDescent="0.2">
      <c r="A58" s="2">
        <v>100057</v>
      </c>
      <c r="B58" s="3">
        <v>46046</v>
      </c>
      <c r="C58" s="2" t="s">
        <v>52</v>
      </c>
      <c r="D58" s="2" t="s">
        <v>9</v>
      </c>
      <c r="E58" s="2" t="s">
        <v>41</v>
      </c>
      <c r="F58" s="2" t="s">
        <v>42</v>
      </c>
      <c r="G58" s="4">
        <v>9883.8799999999992</v>
      </c>
      <c r="H58" s="4">
        <v>12666.67</v>
      </c>
    </row>
    <row r="59" spans="1:8" x14ac:dyDescent="0.2">
      <c r="A59" s="2">
        <v>100058</v>
      </c>
      <c r="B59" s="3">
        <v>46040</v>
      </c>
      <c r="C59" s="2" t="s">
        <v>52</v>
      </c>
      <c r="D59" s="2" t="s">
        <v>9</v>
      </c>
      <c r="E59" s="2" t="s">
        <v>47</v>
      </c>
      <c r="F59" s="2" t="s">
        <v>48</v>
      </c>
      <c r="G59" s="4">
        <v>3383.18</v>
      </c>
      <c r="H59" s="4">
        <v>4000</v>
      </c>
    </row>
    <row r="60" spans="1:8" x14ac:dyDescent="0.2">
      <c r="A60" s="2">
        <v>100059</v>
      </c>
      <c r="B60" s="3">
        <v>46031</v>
      </c>
      <c r="C60" s="2" t="s">
        <v>52</v>
      </c>
      <c r="D60" s="2" t="s">
        <v>9</v>
      </c>
      <c r="E60" s="2" t="s">
        <v>47</v>
      </c>
      <c r="F60" s="2" t="s">
        <v>48</v>
      </c>
      <c r="G60" s="4">
        <v>3843.76</v>
      </c>
      <c r="H60" s="4">
        <v>4000</v>
      </c>
    </row>
    <row r="61" spans="1:8" x14ac:dyDescent="0.2">
      <c r="A61" s="2">
        <v>100060</v>
      </c>
      <c r="B61" s="3">
        <v>46050</v>
      </c>
      <c r="C61" s="2" t="s">
        <v>52</v>
      </c>
      <c r="D61" s="2" t="s">
        <v>9</v>
      </c>
      <c r="E61" s="2" t="s">
        <v>34</v>
      </c>
      <c r="F61" s="2" t="s">
        <v>38</v>
      </c>
      <c r="G61" s="4">
        <v>2266.9899999999998</v>
      </c>
      <c r="H61" s="4">
        <v>2333.33</v>
      </c>
    </row>
    <row r="62" spans="1:8" x14ac:dyDescent="0.2">
      <c r="A62" s="2">
        <v>100061</v>
      </c>
      <c r="B62" s="3">
        <v>46040</v>
      </c>
      <c r="C62" s="2" t="s">
        <v>52</v>
      </c>
      <c r="D62" s="2" t="s">
        <v>9</v>
      </c>
      <c r="E62" s="2" t="s">
        <v>34</v>
      </c>
      <c r="F62" s="2" t="s">
        <v>39</v>
      </c>
      <c r="G62" s="4">
        <v>1809.02</v>
      </c>
      <c r="H62" s="4">
        <v>2333.33</v>
      </c>
    </row>
    <row r="63" spans="1:8" x14ac:dyDescent="0.2">
      <c r="A63" s="2">
        <v>100062</v>
      </c>
      <c r="B63" s="3">
        <v>46050</v>
      </c>
      <c r="C63" s="2" t="s">
        <v>52</v>
      </c>
      <c r="D63" s="2" t="s">
        <v>9</v>
      </c>
      <c r="E63" s="2" t="s">
        <v>34</v>
      </c>
      <c r="F63" s="2" t="s">
        <v>35</v>
      </c>
      <c r="G63" s="4">
        <v>2830.76</v>
      </c>
      <c r="H63" s="4">
        <v>2333.33</v>
      </c>
    </row>
    <row r="64" spans="1:8" x14ac:dyDescent="0.2">
      <c r="A64" s="2">
        <v>100063</v>
      </c>
      <c r="B64" s="3">
        <v>46029</v>
      </c>
      <c r="C64" s="2" t="s">
        <v>52</v>
      </c>
      <c r="D64" s="2" t="s">
        <v>12</v>
      </c>
      <c r="E64" s="2" t="s">
        <v>20</v>
      </c>
      <c r="F64" s="2" t="s">
        <v>21</v>
      </c>
      <c r="G64" s="4">
        <v>595.69000000000005</v>
      </c>
      <c r="H64" s="4">
        <v>600</v>
      </c>
    </row>
    <row r="65" spans="1:8" x14ac:dyDescent="0.2">
      <c r="A65" s="2">
        <v>100064</v>
      </c>
      <c r="B65" s="3">
        <v>46028</v>
      </c>
      <c r="C65" s="2" t="s">
        <v>52</v>
      </c>
      <c r="D65" s="2" t="s">
        <v>12</v>
      </c>
      <c r="E65" s="2" t="s">
        <v>20</v>
      </c>
      <c r="F65" s="2" t="s">
        <v>31</v>
      </c>
      <c r="G65" s="4">
        <v>720.73</v>
      </c>
      <c r="H65" s="4">
        <v>600</v>
      </c>
    </row>
    <row r="66" spans="1:8" x14ac:dyDescent="0.2">
      <c r="A66" s="2">
        <v>100065</v>
      </c>
      <c r="B66" s="3">
        <v>46031</v>
      </c>
      <c r="C66" s="2" t="s">
        <v>52</v>
      </c>
      <c r="D66" s="2" t="s">
        <v>9</v>
      </c>
      <c r="E66" s="2" t="s">
        <v>20</v>
      </c>
      <c r="F66" s="2" t="s">
        <v>21</v>
      </c>
      <c r="G66" s="4">
        <v>745.59</v>
      </c>
      <c r="H66" s="4">
        <v>600</v>
      </c>
    </row>
    <row r="67" spans="1:8" x14ac:dyDescent="0.2">
      <c r="A67" s="2">
        <v>100066</v>
      </c>
      <c r="B67" s="3">
        <v>46079</v>
      </c>
      <c r="C67" s="2" t="s">
        <v>8</v>
      </c>
      <c r="D67" s="2" t="s">
        <v>16</v>
      </c>
      <c r="E67" s="2" t="s">
        <v>10</v>
      </c>
      <c r="F67" s="2" t="s">
        <v>53</v>
      </c>
      <c r="G67" s="4">
        <v>42091.91</v>
      </c>
      <c r="H67" s="4">
        <v>36000</v>
      </c>
    </row>
    <row r="68" spans="1:8" x14ac:dyDescent="0.2">
      <c r="A68" s="2">
        <v>100067</v>
      </c>
      <c r="B68" s="3">
        <v>46055</v>
      </c>
      <c r="C68" s="2" t="s">
        <v>8</v>
      </c>
      <c r="D68" s="2" t="s">
        <v>9</v>
      </c>
      <c r="E68" s="2" t="s">
        <v>10</v>
      </c>
      <c r="F68" s="2" t="s">
        <v>54</v>
      </c>
      <c r="G68" s="4">
        <v>30376.38</v>
      </c>
      <c r="H68" s="4">
        <v>36000</v>
      </c>
    </row>
    <row r="69" spans="1:8" x14ac:dyDescent="0.2">
      <c r="A69" s="2">
        <v>100068</v>
      </c>
      <c r="B69" s="3">
        <v>46069</v>
      </c>
      <c r="C69" s="2" t="s">
        <v>8</v>
      </c>
      <c r="D69" s="2" t="s">
        <v>12</v>
      </c>
      <c r="E69" s="2" t="s">
        <v>10</v>
      </c>
      <c r="F69" s="2" t="s">
        <v>55</v>
      </c>
      <c r="G69" s="4">
        <v>27722.25</v>
      </c>
      <c r="H69" s="4">
        <v>36000</v>
      </c>
    </row>
    <row r="70" spans="1:8" x14ac:dyDescent="0.2">
      <c r="A70" s="2">
        <v>100069</v>
      </c>
      <c r="B70" s="3">
        <v>46059</v>
      </c>
      <c r="C70" s="2" t="s">
        <v>8</v>
      </c>
      <c r="D70" s="2" t="s">
        <v>9</v>
      </c>
      <c r="E70" s="2" t="s">
        <v>10</v>
      </c>
      <c r="F70" s="2" t="s">
        <v>11</v>
      </c>
      <c r="G70" s="4">
        <v>28196.97</v>
      </c>
      <c r="H70" s="4">
        <v>36000</v>
      </c>
    </row>
    <row r="71" spans="1:8" x14ac:dyDescent="0.2">
      <c r="A71" s="2">
        <v>100070</v>
      </c>
      <c r="B71" s="3">
        <v>46066</v>
      </c>
      <c r="C71" s="2" t="s">
        <v>8</v>
      </c>
      <c r="D71" s="2" t="s">
        <v>12</v>
      </c>
      <c r="E71" s="2" t="s">
        <v>10</v>
      </c>
      <c r="F71" s="2" t="s">
        <v>11</v>
      </c>
      <c r="G71" s="4">
        <v>40579.22</v>
      </c>
      <c r="H71" s="4">
        <v>36000</v>
      </c>
    </row>
    <row r="72" spans="1:8" x14ac:dyDescent="0.2">
      <c r="A72" s="2">
        <v>100071</v>
      </c>
      <c r="B72" s="3">
        <v>46073</v>
      </c>
      <c r="C72" s="2" t="s">
        <v>8</v>
      </c>
      <c r="D72" s="2" t="s">
        <v>12</v>
      </c>
      <c r="E72" s="2" t="s">
        <v>14</v>
      </c>
      <c r="F72" s="2" t="s">
        <v>15</v>
      </c>
      <c r="G72" s="4">
        <v>6283.56</v>
      </c>
      <c r="H72" s="4">
        <v>6000</v>
      </c>
    </row>
    <row r="73" spans="1:8" x14ac:dyDescent="0.2">
      <c r="A73" s="2">
        <v>100072</v>
      </c>
      <c r="B73" s="3">
        <v>46072</v>
      </c>
      <c r="C73" s="2" t="s">
        <v>8</v>
      </c>
      <c r="D73" s="2" t="s">
        <v>16</v>
      </c>
      <c r="E73" s="2" t="s">
        <v>14</v>
      </c>
      <c r="F73" s="2" t="s">
        <v>15</v>
      </c>
      <c r="G73" s="4">
        <v>6472.12</v>
      </c>
      <c r="H73" s="4">
        <v>6000</v>
      </c>
    </row>
    <row r="74" spans="1:8" x14ac:dyDescent="0.2">
      <c r="A74" s="2">
        <v>100073</v>
      </c>
      <c r="B74" s="3">
        <v>46076</v>
      </c>
      <c r="C74" s="2" t="s">
        <v>8</v>
      </c>
      <c r="D74" s="2" t="s">
        <v>16</v>
      </c>
      <c r="E74" s="2" t="s">
        <v>14</v>
      </c>
      <c r="F74" s="2" t="s">
        <v>15</v>
      </c>
      <c r="G74" s="4">
        <v>5112.78</v>
      </c>
      <c r="H74" s="4">
        <v>6000</v>
      </c>
    </row>
    <row r="75" spans="1:8" x14ac:dyDescent="0.2">
      <c r="A75" s="2">
        <v>100074</v>
      </c>
      <c r="B75" s="3">
        <v>46075</v>
      </c>
      <c r="C75" s="2" t="s">
        <v>8</v>
      </c>
      <c r="D75" s="2" t="s">
        <v>16</v>
      </c>
      <c r="E75" s="2" t="s">
        <v>17</v>
      </c>
      <c r="F75" s="2" t="s">
        <v>19</v>
      </c>
      <c r="G75" s="4">
        <v>1263.8599999999999</v>
      </c>
      <c r="H75" s="4">
        <v>1333.33</v>
      </c>
    </row>
    <row r="76" spans="1:8" x14ac:dyDescent="0.2">
      <c r="A76" s="2">
        <v>100075</v>
      </c>
      <c r="B76" s="3">
        <v>46078</v>
      </c>
      <c r="C76" s="2" t="s">
        <v>8</v>
      </c>
      <c r="D76" s="2" t="s">
        <v>16</v>
      </c>
      <c r="E76" s="2" t="s">
        <v>17</v>
      </c>
      <c r="F76" s="2" t="s">
        <v>18</v>
      </c>
      <c r="G76" s="4">
        <v>1210.78</v>
      </c>
      <c r="H76" s="4">
        <v>1333.33</v>
      </c>
    </row>
    <row r="77" spans="1:8" x14ac:dyDescent="0.2">
      <c r="A77" s="2">
        <v>100076</v>
      </c>
      <c r="B77" s="3">
        <v>46072</v>
      </c>
      <c r="C77" s="2" t="s">
        <v>8</v>
      </c>
      <c r="D77" s="2" t="s">
        <v>9</v>
      </c>
      <c r="E77" s="2" t="s">
        <v>17</v>
      </c>
      <c r="F77" s="2" t="s">
        <v>18</v>
      </c>
      <c r="G77" s="4">
        <v>1305.52</v>
      </c>
      <c r="H77" s="4">
        <v>1333.33</v>
      </c>
    </row>
    <row r="78" spans="1:8" x14ac:dyDescent="0.2">
      <c r="A78" s="2">
        <v>100077</v>
      </c>
      <c r="B78" s="3">
        <v>46062</v>
      </c>
      <c r="C78" s="2" t="s">
        <v>8</v>
      </c>
      <c r="D78" s="2" t="s">
        <v>12</v>
      </c>
      <c r="E78" s="2" t="s">
        <v>20</v>
      </c>
      <c r="F78" s="2" t="s">
        <v>51</v>
      </c>
      <c r="G78" s="4">
        <v>1070.72</v>
      </c>
      <c r="H78" s="4">
        <v>1250</v>
      </c>
    </row>
    <row r="79" spans="1:8" x14ac:dyDescent="0.2">
      <c r="A79" s="2">
        <v>100078</v>
      </c>
      <c r="B79" s="3">
        <v>46061</v>
      </c>
      <c r="C79" s="2" t="s">
        <v>8</v>
      </c>
      <c r="D79" s="2" t="s">
        <v>16</v>
      </c>
      <c r="E79" s="2" t="s">
        <v>20</v>
      </c>
      <c r="F79" s="2" t="s">
        <v>28</v>
      </c>
      <c r="G79" s="4">
        <v>1488.04</v>
      </c>
      <c r="H79" s="4">
        <v>1250</v>
      </c>
    </row>
    <row r="80" spans="1:8" x14ac:dyDescent="0.2">
      <c r="A80" s="2">
        <v>100079</v>
      </c>
      <c r="B80" s="3">
        <v>46071</v>
      </c>
      <c r="C80" s="2" t="s">
        <v>23</v>
      </c>
      <c r="D80" s="2" t="s">
        <v>9</v>
      </c>
      <c r="E80" s="2" t="s">
        <v>24</v>
      </c>
      <c r="F80" s="2" t="s">
        <v>56</v>
      </c>
      <c r="G80" s="4">
        <v>8479.56</v>
      </c>
      <c r="H80" s="4">
        <v>8750</v>
      </c>
    </row>
    <row r="81" spans="1:8" x14ac:dyDescent="0.2">
      <c r="A81" s="2">
        <v>100080</v>
      </c>
      <c r="B81" s="3">
        <v>46079</v>
      </c>
      <c r="C81" s="2" t="s">
        <v>23</v>
      </c>
      <c r="D81" s="2" t="s">
        <v>16</v>
      </c>
      <c r="E81" s="2" t="s">
        <v>24</v>
      </c>
      <c r="F81" s="2" t="s">
        <v>56</v>
      </c>
      <c r="G81" s="4">
        <v>9238.59</v>
      </c>
      <c r="H81" s="4">
        <v>8750</v>
      </c>
    </row>
    <row r="82" spans="1:8" x14ac:dyDescent="0.2">
      <c r="A82" s="2">
        <v>100081</v>
      </c>
      <c r="B82" s="3">
        <v>46080</v>
      </c>
      <c r="C82" s="2" t="s">
        <v>23</v>
      </c>
      <c r="D82" s="2" t="s">
        <v>12</v>
      </c>
      <c r="E82" s="2" t="s">
        <v>24</v>
      </c>
      <c r="F82" s="2" t="s">
        <v>26</v>
      </c>
      <c r="G82" s="4">
        <v>6596.73</v>
      </c>
      <c r="H82" s="4">
        <v>8750</v>
      </c>
    </row>
    <row r="83" spans="1:8" x14ac:dyDescent="0.2">
      <c r="A83" s="2">
        <v>100082</v>
      </c>
      <c r="B83" s="3">
        <v>46057</v>
      </c>
      <c r="C83" s="2" t="s">
        <v>23</v>
      </c>
      <c r="D83" s="2" t="s">
        <v>16</v>
      </c>
      <c r="E83" s="2" t="s">
        <v>24</v>
      </c>
      <c r="F83" s="2" t="s">
        <v>57</v>
      </c>
      <c r="G83" s="4">
        <v>10638.93</v>
      </c>
      <c r="H83" s="4">
        <v>8750</v>
      </c>
    </row>
    <row r="84" spans="1:8" x14ac:dyDescent="0.2">
      <c r="A84" s="2">
        <v>100083</v>
      </c>
      <c r="B84" s="3">
        <v>46077</v>
      </c>
      <c r="C84" s="2" t="s">
        <v>23</v>
      </c>
      <c r="D84" s="2" t="s">
        <v>9</v>
      </c>
      <c r="E84" s="2" t="s">
        <v>20</v>
      </c>
      <c r="F84" s="2" t="s">
        <v>30</v>
      </c>
      <c r="G84" s="4">
        <v>896.14</v>
      </c>
      <c r="H84" s="4">
        <v>750</v>
      </c>
    </row>
    <row r="85" spans="1:8" x14ac:dyDescent="0.2">
      <c r="A85" s="2">
        <v>100084</v>
      </c>
      <c r="B85" s="3">
        <v>46073</v>
      </c>
      <c r="C85" s="2" t="s">
        <v>23</v>
      </c>
      <c r="D85" s="2" t="s">
        <v>9</v>
      </c>
      <c r="E85" s="2" t="s">
        <v>20</v>
      </c>
      <c r="F85" s="2" t="s">
        <v>51</v>
      </c>
      <c r="G85" s="4">
        <v>664.63</v>
      </c>
      <c r="H85" s="4">
        <v>750</v>
      </c>
    </row>
    <row r="86" spans="1:8" x14ac:dyDescent="0.2">
      <c r="A86" s="2">
        <v>100085</v>
      </c>
      <c r="B86" s="3">
        <v>46075</v>
      </c>
      <c r="C86" s="2" t="s">
        <v>23</v>
      </c>
      <c r="D86" s="2" t="s">
        <v>12</v>
      </c>
      <c r="E86" s="2" t="s">
        <v>20</v>
      </c>
      <c r="F86" s="2" t="s">
        <v>29</v>
      </c>
      <c r="G86" s="4">
        <v>691.08</v>
      </c>
      <c r="H86" s="4">
        <v>750</v>
      </c>
    </row>
    <row r="87" spans="1:8" x14ac:dyDescent="0.2">
      <c r="A87" s="2">
        <v>100086</v>
      </c>
      <c r="B87" s="3">
        <v>46062</v>
      </c>
      <c r="C87" s="2" t="s">
        <v>23</v>
      </c>
      <c r="D87" s="2" t="s">
        <v>16</v>
      </c>
      <c r="E87" s="2" t="s">
        <v>20</v>
      </c>
      <c r="F87" s="2" t="s">
        <v>21</v>
      </c>
      <c r="G87" s="4">
        <v>752.03</v>
      </c>
      <c r="H87" s="4">
        <v>750</v>
      </c>
    </row>
    <row r="88" spans="1:8" x14ac:dyDescent="0.2">
      <c r="A88" s="2">
        <v>100087</v>
      </c>
      <c r="B88" s="3">
        <v>46080</v>
      </c>
      <c r="C88" s="2" t="s">
        <v>23</v>
      </c>
      <c r="D88" s="2" t="s">
        <v>9</v>
      </c>
      <c r="E88" s="2" t="s">
        <v>17</v>
      </c>
      <c r="F88" s="2" t="s">
        <v>19</v>
      </c>
      <c r="G88" s="4">
        <v>1333.93</v>
      </c>
      <c r="H88" s="4">
        <v>1250</v>
      </c>
    </row>
    <row r="89" spans="1:8" x14ac:dyDescent="0.2">
      <c r="A89" s="2">
        <v>100088</v>
      </c>
      <c r="B89" s="3">
        <v>46078</v>
      </c>
      <c r="C89" s="2" t="s">
        <v>23</v>
      </c>
      <c r="D89" s="2" t="s">
        <v>9</v>
      </c>
      <c r="E89" s="2" t="s">
        <v>17</v>
      </c>
      <c r="F89" s="2" t="s">
        <v>58</v>
      </c>
      <c r="G89" s="4">
        <v>939.72</v>
      </c>
      <c r="H89" s="4">
        <v>1250</v>
      </c>
    </row>
    <row r="90" spans="1:8" x14ac:dyDescent="0.2">
      <c r="A90" s="2">
        <v>100089</v>
      </c>
      <c r="B90" s="3">
        <v>46071</v>
      </c>
      <c r="C90" s="2" t="s">
        <v>23</v>
      </c>
      <c r="D90" s="2" t="s">
        <v>9</v>
      </c>
      <c r="E90" s="2" t="s">
        <v>34</v>
      </c>
      <c r="F90" s="2" t="s">
        <v>37</v>
      </c>
      <c r="G90" s="4">
        <v>1680.92</v>
      </c>
      <c r="H90" s="4">
        <v>1500</v>
      </c>
    </row>
    <row r="91" spans="1:8" x14ac:dyDescent="0.2">
      <c r="A91" s="2">
        <v>100090</v>
      </c>
      <c r="B91" s="3">
        <v>46056</v>
      </c>
      <c r="C91" s="2" t="s">
        <v>23</v>
      </c>
      <c r="D91" s="2" t="s">
        <v>12</v>
      </c>
      <c r="E91" s="2" t="s">
        <v>34</v>
      </c>
      <c r="F91" s="2" t="s">
        <v>35</v>
      </c>
      <c r="G91" s="4">
        <v>1132.25</v>
      </c>
      <c r="H91" s="4">
        <v>1500</v>
      </c>
    </row>
    <row r="92" spans="1:8" x14ac:dyDescent="0.2">
      <c r="A92" s="2">
        <v>100091</v>
      </c>
      <c r="B92" s="3">
        <v>46065</v>
      </c>
      <c r="C92" s="2" t="s">
        <v>23</v>
      </c>
      <c r="D92" s="2" t="s">
        <v>12</v>
      </c>
      <c r="E92" s="2" t="s">
        <v>34</v>
      </c>
      <c r="F92" s="2" t="s">
        <v>38</v>
      </c>
      <c r="G92" s="4">
        <v>1152.02</v>
      </c>
      <c r="H92" s="4">
        <v>1500</v>
      </c>
    </row>
    <row r="93" spans="1:8" x14ac:dyDescent="0.2">
      <c r="A93" s="2">
        <v>100092</v>
      </c>
      <c r="B93" s="3">
        <v>46058</v>
      </c>
      <c r="C93" s="2" t="s">
        <v>23</v>
      </c>
      <c r="D93" s="2" t="s">
        <v>12</v>
      </c>
      <c r="E93" s="2" t="s">
        <v>34</v>
      </c>
      <c r="F93" s="2" t="s">
        <v>39</v>
      </c>
      <c r="G93" s="4">
        <v>1236.07</v>
      </c>
      <c r="H93" s="4">
        <v>1500</v>
      </c>
    </row>
    <row r="94" spans="1:8" x14ac:dyDescent="0.2">
      <c r="A94" s="2">
        <v>100093</v>
      </c>
      <c r="B94" s="3">
        <v>46079</v>
      </c>
      <c r="C94" s="2" t="s">
        <v>40</v>
      </c>
      <c r="D94" s="2" t="s">
        <v>16</v>
      </c>
      <c r="E94" s="2" t="s">
        <v>41</v>
      </c>
      <c r="F94" s="2" t="s">
        <v>42</v>
      </c>
      <c r="G94" s="4">
        <v>28487.91</v>
      </c>
      <c r="H94" s="4">
        <v>23750</v>
      </c>
    </row>
    <row r="95" spans="1:8" x14ac:dyDescent="0.2">
      <c r="A95" s="2">
        <v>100094</v>
      </c>
      <c r="B95" s="3">
        <v>46061</v>
      </c>
      <c r="C95" s="2" t="s">
        <v>40</v>
      </c>
      <c r="D95" s="2" t="s">
        <v>16</v>
      </c>
      <c r="E95" s="2" t="s">
        <v>41</v>
      </c>
      <c r="F95" s="2" t="s">
        <v>42</v>
      </c>
      <c r="G95" s="4">
        <v>20307.16</v>
      </c>
      <c r="H95" s="4">
        <v>23750</v>
      </c>
    </row>
    <row r="96" spans="1:8" x14ac:dyDescent="0.2">
      <c r="A96" s="2">
        <v>100095</v>
      </c>
      <c r="B96" s="3">
        <v>46081</v>
      </c>
      <c r="C96" s="2" t="s">
        <v>40</v>
      </c>
      <c r="D96" s="2" t="s">
        <v>16</v>
      </c>
      <c r="E96" s="2" t="s">
        <v>41</v>
      </c>
      <c r="F96" s="2" t="s">
        <v>42</v>
      </c>
      <c r="G96" s="4">
        <v>27076.38</v>
      </c>
      <c r="H96" s="4">
        <v>23750</v>
      </c>
    </row>
    <row r="97" spans="1:8" x14ac:dyDescent="0.2">
      <c r="A97" s="2">
        <v>100096</v>
      </c>
      <c r="B97" s="3">
        <v>46061</v>
      </c>
      <c r="C97" s="2" t="s">
        <v>40</v>
      </c>
      <c r="D97" s="2" t="s">
        <v>12</v>
      </c>
      <c r="E97" s="2" t="s">
        <v>41</v>
      </c>
      <c r="F97" s="2" t="s">
        <v>42</v>
      </c>
      <c r="G97" s="4">
        <v>26712.55</v>
      </c>
      <c r="H97" s="4">
        <v>23750</v>
      </c>
    </row>
    <row r="98" spans="1:8" x14ac:dyDescent="0.2">
      <c r="A98" s="2">
        <v>100097</v>
      </c>
      <c r="B98" s="3">
        <v>46077</v>
      </c>
      <c r="C98" s="2" t="s">
        <v>40</v>
      </c>
      <c r="D98" s="2" t="s">
        <v>16</v>
      </c>
      <c r="E98" s="2" t="s">
        <v>20</v>
      </c>
      <c r="F98" s="2" t="s">
        <v>28</v>
      </c>
      <c r="G98" s="4">
        <v>1143.5899999999999</v>
      </c>
      <c r="H98" s="4">
        <v>1500</v>
      </c>
    </row>
    <row r="99" spans="1:8" x14ac:dyDescent="0.2">
      <c r="A99" s="2">
        <v>100098</v>
      </c>
      <c r="B99" s="3">
        <v>46081</v>
      </c>
      <c r="C99" s="2" t="s">
        <v>40</v>
      </c>
      <c r="D99" s="2" t="s">
        <v>16</v>
      </c>
      <c r="E99" s="2" t="s">
        <v>20</v>
      </c>
      <c r="F99" s="2" t="s">
        <v>29</v>
      </c>
      <c r="G99" s="4">
        <v>1726.68</v>
      </c>
      <c r="H99" s="4">
        <v>1500</v>
      </c>
    </row>
    <row r="100" spans="1:8" x14ac:dyDescent="0.2">
      <c r="A100" s="2">
        <v>100099</v>
      </c>
      <c r="B100" s="3">
        <v>46079</v>
      </c>
      <c r="C100" s="2" t="s">
        <v>40</v>
      </c>
      <c r="D100" s="2" t="s">
        <v>9</v>
      </c>
      <c r="E100" s="2" t="s">
        <v>20</v>
      </c>
      <c r="F100" s="2" t="s">
        <v>29</v>
      </c>
      <c r="G100" s="4">
        <v>1325.1</v>
      </c>
      <c r="H100" s="4">
        <v>1500</v>
      </c>
    </row>
    <row r="101" spans="1:8" x14ac:dyDescent="0.2">
      <c r="A101" s="2">
        <v>100100</v>
      </c>
      <c r="B101" s="3">
        <v>46081</v>
      </c>
      <c r="C101" s="2" t="s">
        <v>40</v>
      </c>
      <c r="D101" s="2" t="s">
        <v>16</v>
      </c>
      <c r="E101" s="2" t="s">
        <v>43</v>
      </c>
      <c r="F101" s="2" t="s">
        <v>59</v>
      </c>
      <c r="G101" s="4">
        <v>7116.5</v>
      </c>
      <c r="H101" s="4">
        <v>6000</v>
      </c>
    </row>
    <row r="102" spans="1:8" x14ac:dyDescent="0.2">
      <c r="A102" s="2">
        <v>100101</v>
      </c>
      <c r="B102" s="3">
        <v>46068</v>
      </c>
      <c r="C102" s="2" t="s">
        <v>40</v>
      </c>
      <c r="D102" s="2" t="s">
        <v>9</v>
      </c>
      <c r="E102" s="2" t="s">
        <v>43</v>
      </c>
      <c r="F102" s="2" t="s">
        <v>59</v>
      </c>
      <c r="G102" s="4">
        <v>5098.72</v>
      </c>
      <c r="H102" s="4">
        <v>6000</v>
      </c>
    </row>
    <row r="103" spans="1:8" x14ac:dyDescent="0.2">
      <c r="A103" s="2">
        <v>100102</v>
      </c>
      <c r="B103" s="3">
        <v>46075</v>
      </c>
      <c r="C103" s="2" t="s">
        <v>40</v>
      </c>
      <c r="D103" s="2" t="s">
        <v>9</v>
      </c>
      <c r="E103" s="2" t="s">
        <v>34</v>
      </c>
      <c r="F103" s="2" t="s">
        <v>35</v>
      </c>
      <c r="G103" s="4">
        <v>1076.83</v>
      </c>
      <c r="H103" s="4">
        <v>1250</v>
      </c>
    </row>
    <row r="104" spans="1:8" x14ac:dyDescent="0.2">
      <c r="A104" s="2">
        <v>100103</v>
      </c>
      <c r="B104" s="3">
        <v>46081</v>
      </c>
      <c r="C104" s="2" t="s">
        <v>40</v>
      </c>
      <c r="D104" s="2" t="s">
        <v>16</v>
      </c>
      <c r="E104" s="2" t="s">
        <v>34</v>
      </c>
      <c r="F104" s="2" t="s">
        <v>39</v>
      </c>
      <c r="G104" s="4">
        <v>1142.6600000000001</v>
      </c>
      <c r="H104" s="4">
        <v>1250</v>
      </c>
    </row>
    <row r="105" spans="1:8" x14ac:dyDescent="0.2">
      <c r="A105" s="2">
        <v>100104</v>
      </c>
      <c r="B105" s="3">
        <v>46070</v>
      </c>
      <c r="C105" s="2" t="s">
        <v>40</v>
      </c>
      <c r="D105" s="2" t="s">
        <v>16</v>
      </c>
      <c r="E105" s="2" t="s">
        <v>34</v>
      </c>
      <c r="F105" s="2" t="s">
        <v>37</v>
      </c>
      <c r="G105" s="4">
        <v>1156.97</v>
      </c>
      <c r="H105" s="4">
        <v>1250</v>
      </c>
    </row>
    <row r="106" spans="1:8" x14ac:dyDescent="0.2">
      <c r="A106" s="2">
        <v>100105</v>
      </c>
      <c r="B106" s="3">
        <v>46071</v>
      </c>
      <c r="C106" s="2" t="s">
        <v>40</v>
      </c>
      <c r="D106" s="2" t="s">
        <v>12</v>
      </c>
      <c r="E106" s="2" t="s">
        <v>34</v>
      </c>
      <c r="F106" s="2" t="s">
        <v>36</v>
      </c>
      <c r="G106" s="4">
        <v>1550.72</v>
      </c>
      <c r="H106" s="4">
        <v>1250</v>
      </c>
    </row>
    <row r="107" spans="1:8" x14ac:dyDescent="0.2">
      <c r="A107" s="2">
        <v>100106</v>
      </c>
      <c r="B107" s="3">
        <v>46062</v>
      </c>
      <c r="C107" s="2" t="s">
        <v>46</v>
      </c>
      <c r="D107" s="2" t="s">
        <v>9</v>
      </c>
      <c r="E107" s="2" t="s">
        <v>41</v>
      </c>
      <c r="F107" s="2" t="s">
        <v>42</v>
      </c>
      <c r="G107" s="4">
        <v>24958.9</v>
      </c>
      <c r="H107" s="4">
        <v>21000</v>
      </c>
    </row>
    <row r="108" spans="1:8" x14ac:dyDescent="0.2">
      <c r="A108" s="2">
        <v>100107</v>
      </c>
      <c r="B108" s="3">
        <v>46062</v>
      </c>
      <c r="C108" s="2" t="s">
        <v>46</v>
      </c>
      <c r="D108" s="2" t="s">
        <v>12</v>
      </c>
      <c r="E108" s="2" t="s">
        <v>41</v>
      </c>
      <c r="F108" s="2" t="s">
        <v>42</v>
      </c>
      <c r="G108" s="4">
        <v>25856.61</v>
      </c>
      <c r="H108" s="4">
        <v>21000</v>
      </c>
    </row>
    <row r="109" spans="1:8" x14ac:dyDescent="0.2">
      <c r="A109" s="2">
        <v>100108</v>
      </c>
      <c r="B109" s="3">
        <v>46077</v>
      </c>
      <c r="C109" s="2" t="s">
        <v>46</v>
      </c>
      <c r="D109" s="2" t="s">
        <v>12</v>
      </c>
      <c r="E109" s="2" t="s">
        <v>47</v>
      </c>
      <c r="F109" s="2" t="s">
        <v>50</v>
      </c>
      <c r="G109" s="4">
        <v>7254.61</v>
      </c>
      <c r="H109" s="4">
        <v>7500</v>
      </c>
    </row>
    <row r="110" spans="1:8" x14ac:dyDescent="0.2">
      <c r="A110" s="2">
        <v>100109</v>
      </c>
      <c r="B110" s="3">
        <v>46070</v>
      </c>
      <c r="C110" s="2" t="s">
        <v>46</v>
      </c>
      <c r="D110" s="2" t="s">
        <v>16</v>
      </c>
      <c r="E110" s="2" t="s">
        <v>47</v>
      </c>
      <c r="F110" s="2" t="s">
        <v>60</v>
      </c>
      <c r="G110" s="4">
        <v>7898.28</v>
      </c>
      <c r="H110" s="4">
        <v>7500</v>
      </c>
    </row>
    <row r="111" spans="1:8" x14ac:dyDescent="0.2">
      <c r="A111" s="2">
        <v>100110</v>
      </c>
      <c r="B111" s="3">
        <v>46055</v>
      </c>
      <c r="C111" s="2" t="s">
        <v>46</v>
      </c>
      <c r="D111" s="2" t="s">
        <v>12</v>
      </c>
      <c r="E111" s="2" t="s">
        <v>20</v>
      </c>
      <c r="F111" s="2" t="s">
        <v>29</v>
      </c>
      <c r="G111" s="4">
        <v>338.02</v>
      </c>
      <c r="H111" s="4">
        <v>400</v>
      </c>
    </row>
    <row r="112" spans="1:8" x14ac:dyDescent="0.2">
      <c r="A112" s="2">
        <v>100111</v>
      </c>
      <c r="B112" s="3">
        <v>46079</v>
      </c>
      <c r="C112" s="2" t="s">
        <v>46</v>
      </c>
      <c r="D112" s="2" t="s">
        <v>16</v>
      </c>
      <c r="E112" s="2" t="s">
        <v>20</v>
      </c>
      <c r="F112" s="2" t="s">
        <v>30</v>
      </c>
      <c r="G112" s="4">
        <v>300.33999999999997</v>
      </c>
      <c r="H112" s="4">
        <v>400</v>
      </c>
    </row>
    <row r="113" spans="1:8" x14ac:dyDescent="0.2">
      <c r="A113" s="2">
        <v>100112</v>
      </c>
      <c r="B113" s="3">
        <v>46077</v>
      </c>
      <c r="C113" s="2" t="s">
        <v>46</v>
      </c>
      <c r="D113" s="2" t="s">
        <v>12</v>
      </c>
      <c r="E113" s="2" t="s">
        <v>20</v>
      </c>
      <c r="F113" s="2" t="s">
        <v>29</v>
      </c>
      <c r="G113" s="4">
        <v>443.89</v>
      </c>
      <c r="H113" s="4">
        <v>400</v>
      </c>
    </row>
    <row r="114" spans="1:8" x14ac:dyDescent="0.2">
      <c r="A114" s="2">
        <v>100113</v>
      </c>
      <c r="B114" s="3">
        <v>46067</v>
      </c>
      <c r="C114" s="2" t="s">
        <v>46</v>
      </c>
      <c r="D114" s="2" t="s">
        <v>12</v>
      </c>
      <c r="E114" s="2" t="s">
        <v>20</v>
      </c>
      <c r="F114" s="2" t="s">
        <v>22</v>
      </c>
      <c r="G114" s="4">
        <v>339.41</v>
      </c>
      <c r="H114" s="4">
        <v>400</v>
      </c>
    </row>
    <row r="115" spans="1:8" x14ac:dyDescent="0.2">
      <c r="A115" s="2">
        <v>100114</v>
      </c>
      <c r="B115" s="3">
        <v>46073</v>
      </c>
      <c r="C115" s="2" t="s">
        <v>46</v>
      </c>
      <c r="D115" s="2" t="s">
        <v>12</v>
      </c>
      <c r="E115" s="2" t="s">
        <v>20</v>
      </c>
      <c r="F115" s="2" t="s">
        <v>28</v>
      </c>
      <c r="G115" s="4">
        <v>484.15</v>
      </c>
      <c r="H115" s="4">
        <v>400</v>
      </c>
    </row>
    <row r="116" spans="1:8" x14ac:dyDescent="0.2">
      <c r="A116" s="2">
        <v>100115</v>
      </c>
      <c r="B116" s="3">
        <v>46070</v>
      </c>
      <c r="C116" s="2" t="s">
        <v>46</v>
      </c>
      <c r="D116" s="2" t="s">
        <v>12</v>
      </c>
      <c r="E116" s="2" t="s">
        <v>34</v>
      </c>
      <c r="F116" s="2" t="s">
        <v>36</v>
      </c>
      <c r="G116" s="4">
        <v>2100.04</v>
      </c>
      <c r="H116" s="4">
        <v>1750</v>
      </c>
    </row>
    <row r="117" spans="1:8" x14ac:dyDescent="0.2">
      <c r="A117" s="2">
        <v>100116</v>
      </c>
      <c r="B117" s="3">
        <v>46066</v>
      </c>
      <c r="C117" s="2" t="s">
        <v>46</v>
      </c>
      <c r="D117" s="2" t="s">
        <v>12</v>
      </c>
      <c r="E117" s="2" t="s">
        <v>34</v>
      </c>
      <c r="F117" s="2" t="s">
        <v>36</v>
      </c>
      <c r="G117" s="4">
        <v>1669.84</v>
      </c>
      <c r="H117" s="4">
        <v>1750</v>
      </c>
    </row>
    <row r="118" spans="1:8" x14ac:dyDescent="0.2">
      <c r="A118" s="2">
        <v>100117</v>
      </c>
      <c r="B118" s="3">
        <v>46066</v>
      </c>
      <c r="C118" s="2" t="s">
        <v>52</v>
      </c>
      <c r="D118" s="2" t="s">
        <v>9</v>
      </c>
      <c r="E118" s="2" t="s">
        <v>41</v>
      </c>
      <c r="F118" s="2" t="s">
        <v>42</v>
      </c>
      <c r="G118" s="4">
        <v>12162.83</v>
      </c>
      <c r="H118" s="4">
        <v>12666.67</v>
      </c>
    </row>
    <row r="119" spans="1:8" x14ac:dyDescent="0.2">
      <c r="A119" s="2">
        <v>100118</v>
      </c>
      <c r="B119" s="3">
        <v>46080</v>
      </c>
      <c r="C119" s="2" t="s">
        <v>52</v>
      </c>
      <c r="D119" s="2" t="s">
        <v>12</v>
      </c>
      <c r="E119" s="2" t="s">
        <v>41</v>
      </c>
      <c r="F119" s="2" t="s">
        <v>42</v>
      </c>
      <c r="G119" s="4">
        <v>12071.81</v>
      </c>
      <c r="H119" s="4">
        <v>12666.67</v>
      </c>
    </row>
    <row r="120" spans="1:8" x14ac:dyDescent="0.2">
      <c r="A120" s="2">
        <v>100119</v>
      </c>
      <c r="B120" s="3">
        <v>46067</v>
      </c>
      <c r="C120" s="2" t="s">
        <v>52</v>
      </c>
      <c r="D120" s="2" t="s">
        <v>12</v>
      </c>
      <c r="E120" s="2" t="s">
        <v>41</v>
      </c>
      <c r="F120" s="2" t="s">
        <v>42</v>
      </c>
      <c r="G120" s="4">
        <v>11317.12</v>
      </c>
      <c r="H120" s="4">
        <v>12666.67</v>
      </c>
    </row>
    <row r="121" spans="1:8" x14ac:dyDescent="0.2">
      <c r="A121" s="2">
        <v>100120</v>
      </c>
      <c r="B121" s="3">
        <v>46060</v>
      </c>
      <c r="C121" s="2" t="s">
        <v>52</v>
      </c>
      <c r="D121" s="2" t="s">
        <v>12</v>
      </c>
      <c r="E121" s="2" t="s">
        <v>47</v>
      </c>
      <c r="F121" s="2" t="s">
        <v>48</v>
      </c>
      <c r="G121" s="4">
        <v>1553.73</v>
      </c>
      <c r="H121" s="4">
        <v>1600</v>
      </c>
    </row>
    <row r="122" spans="1:8" x14ac:dyDescent="0.2">
      <c r="A122" s="2">
        <v>100121</v>
      </c>
      <c r="B122" s="3">
        <v>46063</v>
      </c>
      <c r="C122" s="2" t="s">
        <v>52</v>
      </c>
      <c r="D122" s="2" t="s">
        <v>9</v>
      </c>
      <c r="E122" s="2" t="s">
        <v>47</v>
      </c>
      <c r="F122" s="2" t="s">
        <v>50</v>
      </c>
      <c r="G122" s="4">
        <v>1727.08</v>
      </c>
      <c r="H122" s="4">
        <v>1600</v>
      </c>
    </row>
    <row r="123" spans="1:8" x14ac:dyDescent="0.2">
      <c r="A123" s="2">
        <v>100122</v>
      </c>
      <c r="B123" s="3">
        <v>46078</v>
      </c>
      <c r="C123" s="2" t="s">
        <v>52</v>
      </c>
      <c r="D123" s="2" t="s">
        <v>9</v>
      </c>
      <c r="E123" s="2" t="s">
        <v>47</v>
      </c>
      <c r="F123" s="2" t="s">
        <v>49</v>
      </c>
      <c r="G123" s="4">
        <v>1854.74</v>
      </c>
      <c r="H123" s="4">
        <v>1600</v>
      </c>
    </row>
    <row r="124" spans="1:8" x14ac:dyDescent="0.2">
      <c r="A124" s="2">
        <v>100123</v>
      </c>
      <c r="B124" s="3">
        <v>46060</v>
      </c>
      <c r="C124" s="2" t="s">
        <v>52</v>
      </c>
      <c r="D124" s="2" t="s">
        <v>12</v>
      </c>
      <c r="E124" s="2" t="s">
        <v>47</v>
      </c>
      <c r="F124" s="2" t="s">
        <v>49</v>
      </c>
      <c r="G124" s="4">
        <v>1379.71</v>
      </c>
      <c r="H124" s="4">
        <v>1600</v>
      </c>
    </row>
    <row r="125" spans="1:8" x14ac:dyDescent="0.2">
      <c r="A125" s="2">
        <v>100124</v>
      </c>
      <c r="B125" s="3">
        <v>46069</v>
      </c>
      <c r="C125" s="2" t="s">
        <v>52</v>
      </c>
      <c r="D125" s="2" t="s">
        <v>9</v>
      </c>
      <c r="E125" s="2" t="s">
        <v>47</v>
      </c>
      <c r="F125" s="2" t="s">
        <v>60</v>
      </c>
      <c r="G125" s="4">
        <v>1236.97</v>
      </c>
      <c r="H125" s="4">
        <v>1600</v>
      </c>
    </row>
    <row r="126" spans="1:8" x14ac:dyDescent="0.2">
      <c r="A126" s="2">
        <v>100125</v>
      </c>
      <c r="B126" s="3">
        <v>46072</v>
      </c>
      <c r="C126" s="2" t="s">
        <v>52</v>
      </c>
      <c r="D126" s="2" t="s">
        <v>12</v>
      </c>
      <c r="E126" s="2" t="s">
        <v>34</v>
      </c>
      <c r="F126" s="2" t="s">
        <v>35</v>
      </c>
      <c r="G126" s="4">
        <v>1670.3</v>
      </c>
      <c r="H126" s="4">
        <v>1400</v>
      </c>
    </row>
    <row r="127" spans="1:8" x14ac:dyDescent="0.2">
      <c r="A127" s="2">
        <v>100126</v>
      </c>
      <c r="B127" s="3">
        <v>46061</v>
      </c>
      <c r="C127" s="2" t="s">
        <v>52</v>
      </c>
      <c r="D127" s="2" t="s">
        <v>12</v>
      </c>
      <c r="E127" s="2" t="s">
        <v>34</v>
      </c>
      <c r="F127" s="2" t="s">
        <v>35</v>
      </c>
      <c r="G127" s="4">
        <v>1396.06</v>
      </c>
      <c r="H127" s="4">
        <v>1400</v>
      </c>
    </row>
    <row r="128" spans="1:8" x14ac:dyDescent="0.2">
      <c r="A128" s="2">
        <v>100127</v>
      </c>
      <c r="B128" s="3">
        <v>46081</v>
      </c>
      <c r="C128" s="2" t="s">
        <v>52</v>
      </c>
      <c r="D128" s="2" t="s">
        <v>9</v>
      </c>
      <c r="E128" s="2" t="s">
        <v>34</v>
      </c>
      <c r="F128" s="2" t="s">
        <v>39</v>
      </c>
      <c r="G128" s="4">
        <v>1674.86</v>
      </c>
      <c r="H128" s="4">
        <v>1400</v>
      </c>
    </row>
    <row r="129" spans="1:8" x14ac:dyDescent="0.2">
      <c r="A129" s="2">
        <v>100128</v>
      </c>
      <c r="B129" s="3">
        <v>46079</v>
      </c>
      <c r="C129" s="2" t="s">
        <v>52</v>
      </c>
      <c r="D129" s="2" t="s">
        <v>12</v>
      </c>
      <c r="E129" s="2" t="s">
        <v>34</v>
      </c>
      <c r="F129" s="2" t="s">
        <v>38</v>
      </c>
      <c r="G129" s="4">
        <v>1203.19</v>
      </c>
      <c r="H129" s="4">
        <v>1400</v>
      </c>
    </row>
    <row r="130" spans="1:8" x14ac:dyDescent="0.2">
      <c r="A130" s="2">
        <v>100129</v>
      </c>
      <c r="B130" s="3">
        <v>46061</v>
      </c>
      <c r="C130" s="2" t="s">
        <v>52</v>
      </c>
      <c r="D130" s="2" t="s">
        <v>12</v>
      </c>
      <c r="E130" s="2" t="s">
        <v>34</v>
      </c>
      <c r="F130" s="2" t="s">
        <v>39</v>
      </c>
      <c r="G130" s="4">
        <v>1085.1500000000001</v>
      </c>
      <c r="H130" s="4">
        <v>1400</v>
      </c>
    </row>
    <row r="131" spans="1:8" x14ac:dyDescent="0.2">
      <c r="A131" s="2">
        <v>100130</v>
      </c>
      <c r="B131" s="3">
        <v>46075</v>
      </c>
      <c r="C131" s="2" t="s">
        <v>52</v>
      </c>
      <c r="D131" s="2" t="s">
        <v>9</v>
      </c>
      <c r="E131" s="2" t="s">
        <v>20</v>
      </c>
      <c r="F131" s="2" t="s">
        <v>30</v>
      </c>
      <c r="G131" s="4">
        <v>414.25</v>
      </c>
      <c r="H131" s="4">
        <v>360</v>
      </c>
    </row>
    <row r="132" spans="1:8" x14ac:dyDescent="0.2">
      <c r="A132" s="2">
        <v>100131</v>
      </c>
      <c r="B132" s="3">
        <v>46068</v>
      </c>
      <c r="C132" s="2" t="s">
        <v>52</v>
      </c>
      <c r="D132" s="2" t="s">
        <v>12</v>
      </c>
      <c r="E132" s="2" t="s">
        <v>20</v>
      </c>
      <c r="F132" s="2" t="s">
        <v>30</v>
      </c>
      <c r="G132" s="4">
        <v>441.01</v>
      </c>
      <c r="H132" s="4">
        <v>360</v>
      </c>
    </row>
    <row r="133" spans="1:8" x14ac:dyDescent="0.2">
      <c r="A133" s="2">
        <v>100132</v>
      </c>
      <c r="B133" s="3">
        <v>46071</v>
      </c>
      <c r="C133" s="2" t="s">
        <v>52</v>
      </c>
      <c r="D133" s="2" t="s">
        <v>12</v>
      </c>
      <c r="E133" s="2" t="s">
        <v>20</v>
      </c>
      <c r="F133" s="2" t="s">
        <v>31</v>
      </c>
      <c r="G133" s="4">
        <v>419.5</v>
      </c>
      <c r="H133" s="4">
        <v>360</v>
      </c>
    </row>
    <row r="134" spans="1:8" x14ac:dyDescent="0.2">
      <c r="A134" s="2">
        <v>100133</v>
      </c>
      <c r="B134" s="3">
        <v>46069</v>
      </c>
      <c r="C134" s="2" t="s">
        <v>52</v>
      </c>
      <c r="D134" s="2" t="s">
        <v>9</v>
      </c>
      <c r="E134" s="2" t="s">
        <v>20</v>
      </c>
      <c r="F134" s="2" t="s">
        <v>31</v>
      </c>
      <c r="G134" s="4">
        <v>403.86</v>
      </c>
      <c r="H134" s="4">
        <v>360</v>
      </c>
    </row>
    <row r="135" spans="1:8" x14ac:dyDescent="0.2">
      <c r="A135" s="2">
        <v>100134</v>
      </c>
      <c r="B135" s="3">
        <v>46080</v>
      </c>
      <c r="C135" s="2" t="s">
        <v>52</v>
      </c>
      <c r="D135" s="2" t="s">
        <v>12</v>
      </c>
      <c r="E135" s="2" t="s">
        <v>20</v>
      </c>
      <c r="F135" s="2" t="s">
        <v>29</v>
      </c>
      <c r="G135" s="4">
        <v>405.32</v>
      </c>
      <c r="H135" s="4">
        <v>360</v>
      </c>
    </row>
    <row r="136" spans="1:8" x14ac:dyDescent="0.2">
      <c r="A136" s="2">
        <v>100135</v>
      </c>
      <c r="B136" s="3">
        <v>46096</v>
      </c>
      <c r="C136" s="2" t="s">
        <v>8</v>
      </c>
      <c r="D136" s="2" t="s">
        <v>12</v>
      </c>
      <c r="E136" s="2" t="s">
        <v>10</v>
      </c>
      <c r="F136" s="2" t="s">
        <v>11</v>
      </c>
      <c r="G136" s="4">
        <v>41451.379999999997</v>
      </c>
      <c r="H136" s="4">
        <v>45000</v>
      </c>
    </row>
    <row r="137" spans="1:8" x14ac:dyDescent="0.2">
      <c r="A137" s="2">
        <v>100136</v>
      </c>
      <c r="B137" s="3">
        <v>46092</v>
      </c>
      <c r="C137" s="2" t="s">
        <v>8</v>
      </c>
      <c r="D137" s="2" t="s">
        <v>12</v>
      </c>
      <c r="E137" s="2" t="s">
        <v>10</v>
      </c>
      <c r="F137" s="2" t="s">
        <v>11</v>
      </c>
      <c r="G137" s="4">
        <v>42145.41</v>
      </c>
      <c r="H137" s="4">
        <v>45000</v>
      </c>
    </row>
    <row r="138" spans="1:8" x14ac:dyDescent="0.2">
      <c r="A138" s="2">
        <v>100137</v>
      </c>
      <c r="B138" s="3">
        <v>46086</v>
      </c>
      <c r="C138" s="2" t="s">
        <v>8</v>
      </c>
      <c r="D138" s="2" t="s">
        <v>9</v>
      </c>
      <c r="E138" s="2" t="s">
        <v>10</v>
      </c>
      <c r="F138" s="2" t="s">
        <v>61</v>
      </c>
      <c r="G138" s="4">
        <v>44524.88</v>
      </c>
      <c r="H138" s="4">
        <v>45000</v>
      </c>
    </row>
    <row r="139" spans="1:8" x14ac:dyDescent="0.2">
      <c r="A139" s="2">
        <v>100138</v>
      </c>
      <c r="B139" s="3">
        <v>46096</v>
      </c>
      <c r="C139" s="2" t="s">
        <v>8</v>
      </c>
      <c r="D139" s="2" t="s">
        <v>9</v>
      </c>
      <c r="E139" s="2" t="s">
        <v>10</v>
      </c>
      <c r="F139" s="2" t="s">
        <v>13</v>
      </c>
      <c r="G139" s="4">
        <v>43410.09</v>
      </c>
      <c r="H139" s="4">
        <v>45000</v>
      </c>
    </row>
    <row r="140" spans="1:8" x14ac:dyDescent="0.2">
      <c r="A140" s="2">
        <v>100139</v>
      </c>
      <c r="B140" s="3">
        <v>46094</v>
      </c>
      <c r="C140" s="2" t="s">
        <v>8</v>
      </c>
      <c r="D140" s="2" t="s">
        <v>9</v>
      </c>
      <c r="E140" s="2" t="s">
        <v>14</v>
      </c>
      <c r="F140" s="2" t="s">
        <v>15</v>
      </c>
      <c r="G140" s="4">
        <v>10498.01</v>
      </c>
      <c r="H140" s="4">
        <v>9000</v>
      </c>
    </row>
    <row r="141" spans="1:8" x14ac:dyDescent="0.2">
      <c r="A141" s="2">
        <v>100140</v>
      </c>
      <c r="B141" s="3">
        <v>46082</v>
      </c>
      <c r="C141" s="2" t="s">
        <v>8</v>
      </c>
      <c r="D141" s="2" t="s">
        <v>12</v>
      </c>
      <c r="E141" s="2" t="s">
        <v>14</v>
      </c>
      <c r="F141" s="2" t="s">
        <v>15</v>
      </c>
      <c r="G141" s="4">
        <v>8461.7099999999991</v>
      </c>
      <c r="H141" s="4">
        <v>9000</v>
      </c>
    </row>
    <row r="142" spans="1:8" x14ac:dyDescent="0.2">
      <c r="A142" s="2">
        <v>100141</v>
      </c>
      <c r="B142" s="3">
        <v>46108</v>
      </c>
      <c r="C142" s="2" t="s">
        <v>8</v>
      </c>
      <c r="D142" s="2" t="s">
        <v>16</v>
      </c>
      <c r="E142" s="2" t="s">
        <v>17</v>
      </c>
      <c r="F142" s="2" t="s">
        <v>33</v>
      </c>
      <c r="G142" s="4">
        <v>1176.72</v>
      </c>
      <c r="H142" s="4">
        <v>1000</v>
      </c>
    </row>
    <row r="143" spans="1:8" x14ac:dyDescent="0.2">
      <c r="A143" s="2">
        <v>100142</v>
      </c>
      <c r="B143" s="3">
        <v>46099</v>
      </c>
      <c r="C143" s="2" t="s">
        <v>8</v>
      </c>
      <c r="D143" s="2" t="s">
        <v>12</v>
      </c>
      <c r="E143" s="2" t="s">
        <v>17</v>
      </c>
      <c r="F143" s="2" t="s">
        <v>32</v>
      </c>
      <c r="G143" s="4">
        <v>1123.76</v>
      </c>
      <c r="H143" s="4">
        <v>1000</v>
      </c>
    </row>
    <row r="144" spans="1:8" x14ac:dyDescent="0.2">
      <c r="A144" s="2">
        <v>100143</v>
      </c>
      <c r="B144" s="3">
        <v>46090</v>
      </c>
      <c r="C144" s="2" t="s">
        <v>8</v>
      </c>
      <c r="D144" s="2" t="s">
        <v>9</v>
      </c>
      <c r="E144" s="2" t="s">
        <v>17</v>
      </c>
      <c r="F144" s="2" t="s">
        <v>33</v>
      </c>
      <c r="G144" s="4">
        <v>994.11</v>
      </c>
      <c r="H144" s="4">
        <v>1000</v>
      </c>
    </row>
    <row r="145" spans="1:8" x14ac:dyDescent="0.2">
      <c r="A145" s="2">
        <v>100144</v>
      </c>
      <c r="B145" s="3">
        <v>46092</v>
      </c>
      <c r="C145" s="2" t="s">
        <v>8</v>
      </c>
      <c r="D145" s="2" t="s">
        <v>16</v>
      </c>
      <c r="E145" s="2" t="s">
        <v>17</v>
      </c>
      <c r="F145" s="2" t="s">
        <v>33</v>
      </c>
      <c r="G145" s="4">
        <v>764.51</v>
      </c>
      <c r="H145" s="4">
        <v>1000</v>
      </c>
    </row>
    <row r="146" spans="1:8" x14ac:dyDescent="0.2">
      <c r="A146" s="2">
        <v>100145</v>
      </c>
      <c r="B146" s="3">
        <v>46101</v>
      </c>
      <c r="C146" s="2" t="s">
        <v>8</v>
      </c>
      <c r="D146" s="2" t="s">
        <v>16</v>
      </c>
      <c r="E146" s="2" t="s">
        <v>20</v>
      </c>
      <c r="F146" s="2" t="s">
        <v>30</v>
      </c>
      <c r="G146" s="4">
        <v>1008.14</v>
      </c>
      <c r="H146" s="4">
        <v>833.33</v>
      </c>
    </row>
    <row r="147" spans="1:8" x14ac:dyDescent="0.2">
      <c r="A147" s="2">
        <v>100146</v>
      </c>
      <c r="B147" s="3">
        <v>46100</v>
      </c>
      <c r="C147" s="2" t="s">
        <v>8</v>
      </c>
      <c r="D147" s="2" t="s">
        <v>9</v>
      </c>
      <c r="E147" s="2" t="s">
        <v>20</v>
      </c>
      <c r="F147" s="2" t="s">
        <v>30</v>
      </c>
      <c r="G147" s="4">
        <v>1002.89</v>
      </c>
      <c r="H147" s="4">
        <v>833.33</v>
      </c>
    </row>
    <row r="148" spans="1:8" x14ac:dyDescent="0.2">
      <c r="A148" s="2">
        <v>100147</v>
      </c>
      <c r="B148" s="3">
        <v>46102</v>
      </c>
      <c r="C148" s="2" t="s">
        <v>8</v>
      </c>
      <c r="D148" s="2" t="s">
        <v>12</v>
      </c>
      <c r="E148" s="2" t="s">
        <v>20</v>
      </c>
      <c r="F148" s="2" t="s">
        <v>31</v>
      </c>
      <c r="G148" s="4">
        <v>636.29</v>
      </c>
      <c r="H148" s="4">
        <v>833.33</v>
      </c>
    </row>
    <row r="149" spans="1:8" x14ac:dyDescent="0.2">
      <c r="A149" s="2">
        <v>100148</v>
      </c>
      <c r="B149" s="3">
        <v>46090</v>
      </c>
      <c r="C149" s="2" t="s">
        <v>23</v>
      </c>
      <c r="D149" s="2" t="s">
        <v>16</v>
      </c>
      <c r="E149" s="2" t="s">
        <v>24</v>
      </c>
      <c r="F149" s="2" t="s">
        <v>62</v>
      </c>
      <c r="G149" s="4">
        <v>9810.09</v>
      </c>
      <c r="H149" s="4">
        <v>11666.67</v>
      </c>
    </row>
    <row r="150" spans="1:8" x14ac:dyDescent="0.2">
      <c r="A150" s="2">
        <v>100149</v>
      </c>
      <c r="B150" s="3">
        <v>46092</v>
      </c>
      <c r="C150" s="2" t="s">
        <v>23</v>
      </c>
      <c r="D150" s="2" t="s">
        <v>16</v>
      </c>
      <c r="E150" s="2" t="s">
        <v>24</v>
      </c>
      <c r="F150" s="2" t="s">
        <v>27</v>
      </c>
      <c r="G150" s="4">
        <v>9984.68</v>
      </c>
      <c r="H150" s="4">
        <v>11666.67</v>
      </c>
    </row>
    <row r="151" spans="1:8" x14ac:dyDescent="0.2">
      <c r="A151" s="2">
        <v>100150</v>
      </c>
      <c r="B151" s="3">
        <v>46108</v>
      </c>
      <c r="C151" s="2" t="s">
        <v>23</v>
      </c>
      <c r="D151" s="2" t="s">
        <v>16</v>
      </c>
      <c r="E151" s="2" t="s">
        <v>24</v>
      </c>
      <c r="F151" s="2" t="s">
        <v>62</v>
      </c>
      <c r="G151" s="4">
        <v>10373.16</v>
      </c>
      <c r="H151" s="4">
        <v>11666.67</v>
      </c>
    </row>
    <row r="152" spans="1:8" x14ac:dyDescent="0.2">
      <c r="A152" s="2">
        <v>100151</v>
      </c>
      <c r="B152" s="3">
        <v>46105</v>
      </c>
      <c r="C152" s="2" t="s">
        <v>23</v>
      </c>
      <c r="D152" s="2" t="s">
        <v>9</v>
      </c>
      <c r="E152" s="2" t="s">
        <v>20</v>
      </c>
      <c r="F152" s="2" t="s">
        <v>30</v>
      </c>
      <c r="G152" s="4">
        <v>738.87</v>
      </c>
      <c r="H152" s="4">
        <v>750</v>
      </c>
    </row>
    <row r="153" spans="1:8" x14ac:dyDescent="0.2">
      <c r="A153" s="2">
        <v>100152</v>
      </c>
      <c r="B153" s="3">
        <v>46093</v>
      </c>
      <c r="C153" s="2" t="s">
        <v>23</v>
      </c>
      <c r="D153" s="2" t="s">
        <v>9</v>
      </c>
      <c r="E153" s="2" t="s">
        <v>20</v>
      </c>
      <c r="F153" s="2" t="s">
        <v>51</v>
      </c>
      <c r="G153" s="4">
        <v>937.47</v>
      </c>
      <c r="H153" s="4">
        <v>750</v>
      </c>
    </row>
    <row r="154" spans="1:8" x14ac:dyDescent="0.2">
      <c r="A154" s="2">
        <v>100153</v>
      </c>
      <c r="B154" s="3">
        <v>46102</v>
      </c>
      <c r="C154" s="2" t="s">
        <v>23</v>
      </c>
      <c r="D154" s="2" t="s">
        <v>12</v>
      </c>
      <c r="E154" s="2" t="s">
        <v>20</v>
      </c>
      <c r="F154" s="2" t="s">
        <v>22</v>
      </c>
      <c r="G154" s="4">
        <v>588.23</v>
      </c>
      <c r="H154" s="4">
        <v>750</v>
      </c>
    </row>
    <row r="155" spans="1:8" x14ac:dyDescent="0.2">
      <c r="A155" s="2">
        <v>100154</v>
      </c>
      <c r="B155" s="3">
        <v>46088</v>
      </c>
      <c r="C155" s="2" t="s">
        <v>23</v>
      </c>
      <c r="D155" s="2" t="s">
        <v>9</v>
      </c>
      <c r="E155" s="2" t="s">
        <v>20</v>
      </c>
      <c r="F155" s="2" t="s">
        <v>21</v>
      </c>
      <c r="G155" s="4">
        <v>918.6</v>
      </c>
      <c r="H155" s="4">
        <v>750</v>
      </c>
    </row>
    <row r="156" spans="1:8" x14ac:dyDescent="0.2">
      <c r="A156" s="2">
        <v>100155</v>
      </c>
      <c r="B156" s="3">
        <v>46086</v>
      </c>
      <c r="C156" s="2" t="s">
        <v>23</v>
      </c>
      <c r="D156" s="2" t="s">
        <v>12</v>
      </c>
      <c r="E156" s="2" t="s">
        <v>17</v>
      </c>
      <c r="F156" s="2" t="s">
        <v>33</v>
      </c>
      <c r="G156" s="4">
        <v>1032.74</v>
      </c>
      <c r="H156" s="4">
        <v>1250</v>
      </c>
    </row>
    <row r="157" spans="1:8" x14ac:dyDescent="0.2">
      <c r="A157" s="2">
        <v>100156</v>
      </c>
      <c r="B157" s="3">
        <v>46088</v>
      </c>
      <c r="C157" s="2" t="s">
        <v>23</v>
      </c>
      <c r="D157" s="2" t="s">
        <v>12</v>
      </c>
      <c r="E157" s="2" t="s">
        <v>17</v>
      </c>
      <c r="F157" s="2" t="s">
        <v>33</v>
      </c>
      <c r="G157" s="4">
        <v>1008.99</v>
      </c>
      <c r="H157" s="4">
        <v>1250</v>
      </c>
    </row>
    <row r="158" spans="1:8" x14ac:dyDescent="0.2">
      <c r="A158" s="2">
        <v>100157</v>
      </c>
      <c r="B158" s="3">
        <v>46101</v>
      </c>
      <c r="C158" s="2" t="s">
        <v>23</v>
      </c>
      <c r="D158" s="2" t="s">
        <v>16</v>
      </c>
      <c r="E158" s="2" t="s">
        <v>34</v>
      </c>
      <c r="F158" s="2" t="s">
        <v>39</v>
      </c>
      <c r="G158" s="4">
        <v>1250.8399999999999</v>
      </c>
      <c r="H158" s="4">
        <v>1500</v>
      </c>
    </row>
    <row r="159" spans="1:8" x14ac:dyDescent="0.2">
      <c r="A159" s="2">
        <v>100158</v>
      </c>
      <c r="B159" s="3">
        <v>46085</v>
      </c>
      <c r="C159" s="2" t="s">
        <v>23</v>
      </c>
      <c r="D159" s="2" t="s">
        <v>9</v>
      </c>
      <c r="E159" s="2" t="s">
        <v>34</v>
      </c>
      <c r="F159" s="2" t="s">
        <v>38</v>
      </c>
      <c r="G159" s="4">
        <v>1848.54</v>
      </c>
      <c r="H159" s="4">
        <v>1500</v>
      </c>
    </row>
    <row r="160" spans="1:8" x14ac:dyDescent="0.2">
      <c r="A160" s="2">
        <v>100159</v>
      </c>
      <c r="B160" s="3">
        <v>46100</v>
      </c>
      <c r="C160" s="2" t="s">
        <v>23</v>
      </c>
      <c r="D160" s="2" t="s">
        <v>9</v>
      </c>
      <c r="E160" s="2" t="s">
        <v>34</v>
      </c>
      <c r="F160" s="2" t="s">
        <v>37</v>
      </c>
      <c r="G160" s="4">
        <v>1821.67</v>
      </c>
      <c r="H160" s="4">
        <v>1500</v>
      </c>
    </row>
    <row r="161" spans="1:8" x14ac:dyDescent="0.2">
      <c r="A161" s="2">
        <v>100160</v>
      </c>
      <c r="B161" s="3">
        <v>46088</v>
      </c>
      <c r="C161" s="2" t="s">
        <v>23</v>
      </c>
      <c r="D161" s="2" t="s">
        <v>16</v>
      </c>
      <c r="E161" s="2" t="s">
        <v>34</v>
      </c>
      <c r="F161" s="2" t="s">
        <v>39</v>
      </c>
      <c r="G161" s="4">
        <v>1831.1</v>
      </c>
      <c r="H161" s="4">
        <v>1500</v>
      </c>
    </row>
    <row r="162" spans="1:8" x14ac:dyDescent="0.2">
      <c r="A162" s="2">
        <v>100161</v>
      </c>
      <c r="B162" s="3">
        <v>46091</v>
      </c>
      <c r="C162" s="2" t="s">
        <v>40</v>
      </c>
      <c r="D162" s="2" t="s">
        <v>9</v>
      </c>
      <c r="E162" s="2" t="s">
        <v>41</v>
      </c>
      <c r="F162" s="2" t="s">
        <v>42</v>
      </c>
      <c r="G162" s="4">
        <v>34788.89</v>
      </c>
      <c r="H162" s="4">
        <v>31666.67</v>
      </c>
    </row>
    <row r="163" spans="1:8" x14ac:dyDescent="0.2">
      <c r="A163" s="2">
        <v>100162</v>
      </c>
      <c r="B163" s="3">
        <v>46093</v>
      </c>
      <c r="C163" s="2" t="s">
        <v>40</v>
      </c>
      <c r="D163" s="2" t="s">
        <v>12</v>
      </c>
      <c r="E163" s="2" t="s">
        <v>41</v>
      </c>
      <c r="F163" s="2" t="s">
        <v>42</v>
      </c>
      <c r="G163" s="4">
        <v>36141.730000000003</v>
      </c>
      <c r="H163" s="4">
        <v>31666.67</v>
      </c>
    </row>
    <row r="164" spans="1:8" x14ac:dyDescent="0.2">
      <c r="A164" s="2">
        <v>100163</v>
      </c>
      <c r="B164" s="3">
        <v>46098</v>
      </c>
      <c r="C164" s="2" t="s">
        <v>40</v>
      </c>
      <c r="D164" s="2" t="s">
        <v>12</v>
      </c>
      <c r="E164" s="2" t="s">
        <v>41</v>
      </c>
      <c r="F164" s="2" t="s">
        <v>42</v>
      </c>
      <c r="G164" s="4">
        <v>29617.37</v>
      </c>
      <c r="H164" s="4">
        <v>31666.67</v>
      </c>
    </row>
    <row r="165" spans="1:8" x14ac:dyDescent="0.2">
      <c r="A165" s="2">
        <v>100164</v>
      </c>
      <c r="B165" s="3">
        <v>46085</v>
      </c>
      <c r="C165" s="2" t="s">
        <v>40</v>
      </c>
      <c r="D165" s="2" t="s">
        <v>16</v>
      </c>
      <c r="E165" s="2" t="s">
        <v>20</v>
      </c>
      <c r="F165" s="2" t="s">
        <v>31</v>
      </c>
      <c r="G165" s="4">
        <v>2612.62</v>
      </c>
      <c r="H165" s="4">
        <v>2250</v>
      </c>
    </row>
    <row r="166" spans="1:8" x14ac:dyDescent="0.2">
      <c r="A166" s="2">
        <v>100165</v>
      </c>
      <c r="B166" s="3">
        <v>46108</v>
      </c>
      <c r="C166" s="2" t="s">
        <v>40</v>
      </c>
      <c r="D166" s="2" t="s">
        <v>16</v>
      </c>
      <c r="E166" s="2" t="s">
        <v>20</v>
      </c>
      <c r="F166" s="2" t="s">
        <v>31</v>
      </c>
      <c r="G166" s="4">
        <v>2402.5300000000002</v>
      </c>
      <c r="H166" s="4">
        <v>2250</v>
      </c>
    </row>
    <row r="167" spans="1:8" x14ac:dyDescent="0.2">
      <c r="A167" s="2">
        <v>100166</v>
      </c>
      <c r="B167" s="3">
        <v>46098</v>
      </c>
      <c r="C167" s="2" t="s">
        <v>40</v>
      </c>
      <c r="D167" s="2" t="s">
        <v>16</v>
      </c>
      <c r="E167" s="2" t="s">
        <v>43</v>
      </c>
      <c r="F167" s="2" t="s">
        <v>44</v>
      </c>
      <c r="G167" s="4">
        <v>3352.27</v>
      </c>
      <c r="H167" s="4">
        <v>4000</v>
      </c>
    </row>
    <row r="168" spans="1:8" x14ac:dyDescent="0.2">
      <c r="A168" s="2">
        <v>100167</v>
      </c>
      <c r="B168" s="3">
        <v>46099</v>
      </c>
      <c r="C168" s="2" t="s">
        <v>40</v>
      </c>
      <c r="D168" s="2" t="s">
        <v>16</v>
      </c>
      <c r="E168" s="2" t="s">
        <v>43</v>
      </c>
      <c r="F168" s="2" t="s">
        <v>59</v>
      </c>
      <c r="G168" s="4">
        <v>4231.82</v>
      </c>
      <c r="H168" s="4">
        <v>4000</v>
      </c>
    </row>
    <row r="169" spans="1:8" x14ac:dyDescent="0.2">
      <c r="A169" s="2">
        <v>100168</v>
      </c>
      <c r="B169" s="3">
        <v>46105</v>
      </c>
      <c r="C169" s="2" t="s">
        <v>40</v>
      </c>
      <c r="D169" s="2" t="s">
        <v>16</v>
      </c>
      <c r="E169" s="2" t="s">
        <v>43</v>
      </c>
      <c r="F169" s="2" t="s">
        <v>44</v>
      </c>
      <c r="G169" s="4">
        <v>3871.15</v>
      </c>
      <c r="H169" s="4">
        <v>4000</v>
      </c>
    </row>
    <row r="170" spans="1:8" x14ac:dyDescent="0.2">
      <c r="A170" s="2">
        <v>100169</v>
      </c>
      <c r="B170" s="3">
        <v>46108</v>
      </c>
      <c r="C170" s="2" t="s">
        <v>40</v>
      </c>
      <c r="D170" s="2" t="s">
        <v>16</v>
      </c>
      <c r="E170" s="2" t="s">
        <v>34</v>
      </c>
      <c r="F170" s="2" t="s">
        <v>39</v>
      </c>
      <c r="G170" s="4">
        <v>1469.82</v>
      </c>
      <c r="H170" s="4">
        <v>1250</v>
      </c>
    </row>
    <row r="171" spans="1:8" x14ac:dyDescent="0.2">
      <c r="A171" s="2">
        <v>100170</v>
      </c>
      <c r="B171" s="3">
        <v>46089</v>
      </c>
      <c r="C171" s="2" t="s">
        <v>40</v>
      </c>
      <c r="D171" s="2" t="s">
        <v>16</v>
      </c>
      <c r="E171" s="2" t="s">
        <v>34</v>
      </c>
      <c r="F171" s="2" t="s">
        <v>37</v>
      </c>
      <c r="G171" s="4">
        <v>1488.52</v>
      </c>
      <c r="H171" s="4">
        <v>1250</v>
      </c>
    </row>
    <row r="172" spans="1:8" x14ac:dyDescent="0.2">
      <c r="A172" s="2">
        <v>100171</v>
      </c>
      <c r="B172" s="3">
        <v>46094</v>
      </c>
      <c r="C172" s="2" t="s">
        <v>40</v>
      </c>
      <c r="D172" s="2" t="s">
        <v>12</v>
      </c>
      <c r="E172" s="2" t="s">
        <v>34</v>
      </c>
      <c r="F172" s="2" t="s">
        <v>36</v>
      </c>
      <c r="G172" s="4">
        <v>1318.96</v>
      </c>
      <c r="H172" s="4">
        <v>1250</v>
      </c>
    </row>
    <row r="173" spans="1:8" x14ac:dyDescent="0.2">
      <c r="A173" s="2">
        <v>100172</v>
      </c>
      <c r="B173" s="3">
        <v>46092</v>
      </c>
      <c r="C173" s="2" t="s">
        <v>40</v>
      </c>
      <c r="D173" s="2" t="s">
        <v>9</v>
      </c>
      <c r="E173" s="2" t="s">
        <v>34</v>
      </c>
      <c r="F173" s="2" t="s">
        <v>35</v>
      </c>
      <c r="G173" s="4">
        <v>1246.44</v>
      </c>
      <c r="H173" s="4">
        <v>1250</v>
      </c>
    </row>
    <row r="174" spans="1:8" x14ac:dyDescent="0.2">
      <c r="A174" s="2">
        <v>100173</v>
      </c>
      <c r="B174" s="3">
        <v>46090</v>
      </c>
      <c r="C174" s="2" t="s">
        <v>46</v>
      </c>
      <c r="D174" s="2" t="s">
        <v>9</v>
      </c>
      <c r="E174" s="2" t="s">
        <v>41</v>
      </c>
      <c r="F174" s="2" t="s">
        <v>42</v>
      </c>
      <c r="G174" s="4">
        <v>7790.26</v>
      </c>
      <c r="H174" s="4">
        <v>8400</v>
      </c>
    </row>
    <row r="175" spans="1:8" x14ac:dyDescent="0.2">
      <c r="A175" s="2">
        <v>100174</v>
      </c>
      <c r="B175" s="3">
        <v>46104</v>
      </c>
      <c r="C175" s="2" t="s">
        <v>46</v>
      </c>
      <c r="D175" s="2" t="s">
        <v>16</v>
      </c>
      <c r="E175" s="2" t="s">
        <v>41</v>
      </c>
      <c r="F175" s="2" t="s">
        <v>42</v>
      </c>
      <c r="G175" s="4">
        <v>9997.34</v>
      </c>
      <c r="H175" s="4">
        <v>8400</v>
      </c>
    </row>
    <row r="176" spans="1:8" x14ac:dyDescent="0.2">
      <c r="A176" s="2">
        <v>100175</v>
      </c>
      <c r="B176" s="3">
        <v>46088</v>
      </c>
      <c r="C176" s="2" t="s">
        <v>46</v>
      </c>
      <c r="D176" s="2" t="s">
        <v>12</v>
      </c>
      <c r="E176" s="2" t="s">
        <v>41</v>
      </c>
      <c r="F176" s="2" t="s">
        <v>42</v>
      </c>
      <c r="G176" s="4">
        <v>6342.63</v>
      </c>
      <c r="H176" s="4">
        <v>8400</v>
      </c>
    </row>
    <row r="177" spans="1:8" x14ac:dyDescent="0.2">
      <c r="A177" s="2">
        <v>100176</v>
      </c>
      <c r="B177" s="3">
        <v>46097</v>
      </c>
      <c r="C177" s="2" t="s">
        <v>46</v>
      </c>
      <c r="D177" s="2" t="s">
        <v>9</v>
      </c>
      <c r="E177" s="2" t="s">
        <v>41</v>
      </c>
      <c r="F177" s="2" t="s">
        <v>42</v>
      </c>
      <c r="G177" s="4">
        <v>9324.31</v>
      </c>
      <c r="H177" s="4">
        <v>8400</v>
      </c>
    </row>
    <row r="178" spans="1:8" x14ac:dyDescent="0.2">
      <c r="A178" s="2">
        <v>100177</v>
      </c>
      <c r="B178" s="3">
        <v>46104</v>
      </c>
      <c r="C178" s="2" t="s">
        <v>46</v>
      </c>
      <c r="D178" s="2" t="s">
        <v>12</v>
      </c>
      <c r="E178" s="2" t="s">
        <v>41</v>
      </c>
      <c r="F178" s="2" t="s">
        <v>42</v>
      </c>
      <c r="G178" s="4">
        <v>8299.59</v>
      </c>
      <c r="H178" s="4">
        <v>8400</v>
      </c>
    </row>
    <row r="179" spans="1:8" x14ac:dyDescent="0.2">
      <c r="A179" s="2">
        <v>100178</v>
      </c>
      <c r="B179" s="3">
        <v>46089</v>
      </c>
      <c r="C179" s="2" t="s">
        <v>46</v>
      </c>
      <c r="D179" s="2" t="s">
        <v>9</v>
      </c>
      <c r="E179" s="2" t="s">
        <v>47</v>
      </c>
      <c r="F179" s="2" t="s">
        <v>48</v>
      </c>
      <c r="G179" s="4">
        <v>2389.58</v>
      </c>
      <c r="H179" s="4">
        <v>3000</v>
      </c>
    </row>
    <row r="180" spans="1:8" x14ac:dyDescent="0.2">
      <c r="A180" s="2">
        <v>100179</v>
      </c>
      <c r="B180" s="3">
        <v>46103</v>
      </c>
      <c r="C180" s="2" t="s">
        <v>46</v>
      </c>
      <c r="D180" s="2" t="s">
        <v>12</v>
      </c>
      <c r="E180" s="2" t="s">
        <v>47</v>
      </c>
      <c r="F180" s="2" t="s">
        <v>50</v>
      </c>
      <c r="G180" s="4">
        <v>2614.96</v>
      </c>
      <c r="H180" s="4">
        <v>3000</v>
      </c>
    </row>
    <row r="181" spans="1:8" x14ac:dyDescent="0.2">
      <c r="A181" s="2">
        <v>100180</v>
      </c>
      <c r="B181" s="3">
        <v>46093</v>
      </c>
      <c r="C181" s="2" t="s">
        <v>46</v>
      </c>
      <c r="D181" s="2" t="s">
        <v>16</v>
      </c>
      <c r="E181" s="2" t="s">
        <v>47</v>
      </c>
      <c r="F181" s="2" t="s">
        <v>48</v>
      </c>
      <c r="G181" s="4">
        <v>3080.21</v>
      </c>
      <c r="H181" s="4">
        <v>3000</v>
      </c>
    </row>
    <row r="182" spans="1:8" x14ac:dyDescent="0.2">
      <c r="A182" s="2">
        <v>100181</v>
      </c>
      <c r="B182" s="3">
        <v>46093</v>
      </c>
      <c r="C182" s="2" t="s">
        <v>46</v>
      </c>
      <c r="D182" s="2" t="s">
        <v>12</v>
      </c>
      <c r="E182" s="2" t="s">
        <v>47</v>
      </c>
      <c r="F182" s="2" t="s">
        <v>48</v>
      </c>
      <c r="G182" s="4">
        <v>3075.58</v>
      </c>
      <c r="H182" s="4">
        <v>3000</v>
      </c>
    </row>
    <row r="183" spans="1:8" x14ac:dyDescent="0.2">
      <c r="A183" s="2">
        <v>100182</v>
      </c>
      <c r="B183" s="3">
        <v>46089</v>
      </c>
      <c r="C183" s="2" t="s">
        <v>46</v>
      </c>
      <c r="D183" s="2" t="s">
        <v>16</v>
      </c>
      <c r="E183" s="2" t="s">
        <v>47</v>
      </c>
      <c r="F183" s="2" t="s">
        <v>60</v>
      </c>
      <c r="G183" s="4">
        <v>2709.93</v>
      </c>
      <c r="H183" s="4">
        <v>3000</v>
      </c>
    </row>
    <row r="184" spans="1:8" x14ac:dyDescent="0.2">
      <c r="A184" s="2">
        <v>100183</v>
      </c>
      <c r="B184" s="3">
        <v>46099</v>
      </c>
      <c r="C184" s="2" t="s">
        <v>46</v>
      </c>
      <c r="D184" s="2" t="s">
        <v>16</v>
      </c>
      <c r="E184" s="2" t="s">
        <v>20</v>
      </c>
      <c r="F184" s="2" t="s">
        <v>21</v>
      </c>
      <c r="G184" s="4">
        <v>539.85</v>
      </c>
      <c r="H184" s="4">
        <v>666.67</v>
      </c>
    </row>
    <row r="185" spans="1:8" x14ac:dyDescent="0.2">
      <c r="A185" s="2">
        <v>100184</v>
      </c>
      <c r="B185" s="3">
        <v>46088</v>
      </c>
      <c r="C185" s="2" t="s">
        <v>46</v>
      </c>
      <c r="D185" s="2" t="s">
        <v>12</v>
      </c>
      <c r="E185" s="2" t="s">
        <v>20</v>
      </c>
      <c r="F185" s="2" t="s">
        <v>29</v>
      </c>
      <c r="G185" s="4">
        <v>561.72</v>
      </c>
      <c r="H185" s="4">
        <v>666.67</v>
      </c>
    </row>
    <row r="186" spans="1:8" x14ac:dyDescent="0.2">
      <c r="A186" s="2">
        <v>100185</v>
      </c>
      <c r="B186" s="3">
        <v>46100</v>
      </c>
      <c r="C186" s="2" t="s">
        <v>46</v>
      </c>
      <c r="D186" s="2" t="s">
        <v>16</v>
      </c>
      <c r="E186" s="2" t="s">
        <v>20</v>
      </c>
      <c r="F186" s="2" t="s">
        <v>21</v>
      </c>
      <c r="G186" s="4">
        <v>592.16999999999996</v>
      </c>
      <c r="H186" s="4">
        <v>666.67</v>
      </c>
    </row>
    <row r="187" spans="1:8" x14ac:dyDescent="0.2">
      <c r="A187" s="2">
        <v>100186</v>
      </c>
      <c r="B187" s="3">
        <v>46091</v>
      </c>
      <c r="C187" s="2" t="s">
        <v>46</v>
      </c>
      <c r="D187" s="2" t="s">
        <v>9</v>
      </c>
      <c r="E187" s="2" t="s">
        <v>34</v>
      </c>
      <c r="F187" s="2" t="s">
        <v>35</v>
      </c>
      <c r="G187" s="4">
        <v>1020.52</v>
      </c>
      <c r="H187" s="4">
        <v>875</v>
      </c>
    </row>
    <row r="188" spans="1:8" x14ac:dyDescent="0.2">
      <c r="A188" s="2">
        <v>100187</v>
      </c>
      <c r="B188" s="3">
        <v>46082</v>
      </c>
      <c r="C188" s="2" t="s">
        <v>46</v>
      </c>
      <c r="D188" s="2" t="s">
        <v>16</v>
      </c>
      <c r="E188" s="2" t="s">
        <v>34</v>
      </c>
      <c r="F188" s="2" t="s">
        <v>38</v>
      </c>
      <c r="G188" s="4">
        <v>734.76</v>
      </c>
      <c r="H188" s="4">
        <v>875</v>
      </c>
    </row>
    <row r="189" spans="1:8" x14ac:dyDescent="0.2">
      <c r="A189" s="2">
        <v>100188</v>
      </c>
      <c r="B189" s="3">
        <v>46083</v>
      </c>
      <c r="C189" s="2" t="s">
        <v>46</v>
      </c>
      <c r="D189" s="2" t="s">
        <v>9</v>
      </c>
      <c r="E189" s="2" t="s">
        <v>34</v>
      </c>
      <c r="F189" s="2" t="s">
        <v>38</v>
      </c>
      <c r="G189" s="4">
        <v>776.26</v>
      </c>
      <c r="H189" s="4">
        <v>875</v>
      </c>
    </row>
    <row r="190" spans="1:8" x14ac:dyDescent="0.2">
      <c r="A190" s="2">
        <v>100189</v>
      </c>
      <c r="B190" s="3">
        <v>46086</v>
      </c>
      <c r="C190" s="2" t="s">
        <v>46</v>
      </c>
      <c r="D190" s="2" t="s">
        <v>16</v>
      </c>
      <c r="E190" s="2" t="s">
        <v>34</v>
      </c>
      <c r="F190" s="2" t="s">
        <v>37</v>
      </c>
      <c r="G190" s="4">
        <v>961.37</v>
      </c>
      <c r="H190" s="4">
        <v>875</v>
      </c>
    </row>
    <row r="191" spans="1:8" x14ac:dyDescent="0.2">
      <c r="A191" s="2">
        <v>100190</v>
      </c>
      <c r="B191" s="3">
        <v>46097</v>
      </c>
      <c r="C191" s="2" t="s">
        <v>52</v>
      </c>
      <c r="D191" s="2" t="s">
        <v>9</v>
      </c>
      <c r="E191" s="2" t="s">
        <v>41</v>
      </c>
      <c r="F191" s="2" t="s">
        <v>42</v>
      </c>
      <c r="G191" s="4">
        <v>19703.61</v>
      </c>
      <c r="H191" s="4">
        <v>19000</v>
      </c>
    </row>
    <row r="192" spans="1:8" x14ac:dyDescent="0.2">
      <c r="A192" s="2">
        <v>100191</v>
      </c>
      <c r="B192" s="3">
        <v>46083</v>
      </c>
      <c r="C192" s="2" t="s">
        <v>52</v>
      </c>
      <c r="D192" s="2" t="s">
        <v>12</v>
      </c>
      <c r="E192" s="2" t="s">
        <v>41</v>
      </c>
      <c r="F192" s="2" t="s">
        <v>42</v>
      </c>
      <c r="G192" s="4">
        <v>17486.71</v>
      </c>
      <c r="H192" s="4">
        <v>19000</v>
      </c>
    </row>
    <row r="193" spans="1:8" x14ac:dyDescent="0.2">
      <c r="A193" s="2">
        <v>100192</v>
      </c>
      <c r="B193" s="3">
        <v>46094</v>
      </c>
      <c r="C193" s="2" t="s">
        <v>52</v>
      </c>
      <c r="D193" s="2" t="s">
        <v>9</v>
      </c>
      <c r="E193" s="2" t="s">
        <v>47</v>
      </c>
      <c r="F193" s="2" t="s">
        <v>48</v>
      </c>
      <c r="G193" s="4">
        <v>1857.69</v>
      </c>
      <c r="H193" s="4">
        <v>1600</v>
      </c>
    </row>
    <row r="194" spans="1:8" x14ac:dyDescent="0.2">
      <c r="A194" s="2">
        <v>100193</v>
      </c>
      <c r="B194" s="3">
        <v>46103</v>
      </c>
      <c r="C194" s="2" t="s">
        <v>52</v>
      </c>
      <c r="D194" s="2" t="s">
        <v>9</v>
      </c>
      <c r="E194" s="2" t="s">
        <v>47</v>
      </c>
      <c r="F194" s="2" t="s">
        <v>60</v>
      </c>
      <c r="G194" s="4">
        <v>1661.62</v>
      </c>
      <c r="H194" s="4">
        <v>1600</v>
      </c>
    </row>
    <row r="195" spans="1:8" x14ac:dyDescent="0.2">
      <c r="A195" s="2">
        <v>100194</v>
      </c>
      <c r="B195" s="3">
        <v>46100</v>
      </c>
      <c r="C195" s="2" t="s">
        <v>52</v>
      </c>
      <c r="D195" s="2" t="s">
        <v>9</v>
      </c>
      <c r="E195" s="2" t="s">
        <v>47</v>
      </c>
      <c r="F195" s="2" t="s">
        <v>50</v>
      </c>
      <c r="G195" s="4">
        <v>1319.36</v>
      </c>
      <c r="H195" s="4">
        <v>1600</v>
      </c>
    </row>
    <row r="196" spans="1:8" x14ac:dyDescent="0.2">
      <c r="A196" s="2">
        <v>100195</v>
      </c>
      <c r="B196" s="3">
        <v>46085</v>
      </c>
      <c r="C196" s="2" t="s">
        <v>52</v>
      </c>
      <c r="D196" s="2" t="s">
        <v>9</v>
      </c>
      <c r="E196" s="2" t="s">
        <v>47</v>
      </c>
      <c r="F196" s="2" t="s">
        <v>48</v>
      </c>
      <c r="G196" s="4">
        <v>1995.13</v>
      </c>
      <c r="H196" s="4">
        <v>1600</v>
      </c>
    </row>
    <row r="197" spans="1:8" x14ac:dyDescent="0.2">
      <c r="A197" s="2">
        <v>100196</v>
      </c>
      <c r="B197" s="3">
        <v>46094</v>
      </c>
      <c r="C197" s="2" t="s">
        <v>52</v>
      </c>
      <c r="D197" s="2" t="s">
        <v>9</v>
      </c>
      <c r="E197" s="2" t="s">
        <v>47</v>
      </c>
      <c r="F197" s="2" t="s">
        <v>48</v>
      </c>
      <c r="G197" s="4">
        <v>1820.55</v>
      </c>
      <c r="H197" s="4">
        <v>1600</v>
      </c>
    </row>
    <row r="198" spans="1:8" x14ac:dyDescent="0.2">
      <c r="A198" s="2">
        <v>100197</v>
      </c>
      <c r="B198" s="3">
        <v>46095</v>
      </c>
      <c r="C198" s="2" t="s">
        <v>52</v>
      </c>
      <c r="D198" s="2" t="s">
        <v>12</v>
      </c>
      <c r="E198" s="2" t="s">
        <v>34</v>
      </c>
      <c r="F198" s="2" t="s">
        <v>36</v>
      </c>
      <c r="G198" s="4">
        <v>1652.12</v>
      </c>
      <c r="H198" s="4">
        <v>1400</v>
      </c>
    </row>
    <row r="199" spans="1:8" x14ac:dyDescent="0.2">
      <c r="A199" s="2">
        <v>100198</v>
      </c>
      <c r="B199" s="3">
        <v>46105</v>
      </c>
      <c r="C199" s="2" t="s">
        <v>52</v>
      </c>
      <c r="D199" s="2" t="s">
        <v>9</v>
      </c>
      <c r="E199" s="2" t="s">
        <v>34</v>
      </c>
      <c r="F199" s="2" t="s">
        <v>39</v>
      </c>
      <c r="G199" s="4">
        <v>1476.74</v>
      </c>
      <c r="H199" s="4">
        <v>1400</v>
      </c>
    </row>
    <row r="200" spans="1:8" x14ac:dyDescent="0.2">
      <c r="A200" s="2">
        <v>100199</v>
      </c>
      <c r="B200" s="3">
        <v>46090</v>
      </c>
      <c r="C200" s="2" t="s">
        <v>52</v>
      </c>
      <c r="D200" s="2" t="s">
        <v>9</v>
      </c>
      <c r="E200" s="2" t="s">
        <v>34</v>
      </c>
      <c r="F200" s="2" t="s">
        <v>39</v>
      </c>
      <c r="G200" s="4">
        <v>1487.86</v>
      </c>
      <c r="H200" s="4">
        <v>1400</v>
      </c>
    </row>
    <row r="201" spans="1:8" x14ac:dyDescent="0.2">
      <c r="A201" s="2">
        <v>100200</v>
      </c>
      <c r="B201" s="3">
        <v>46099</v>
      </c>
      <c r="C201" s="2" t="s">
        <v>52</v>
      </c>
      <c r="D201" s="2" t="s">
        <v>9</v>
      </c>
      <c r="E201" s="2" t="s">
        <v>34</v>
      </c>
      <c r="F201" s="2" t="s">
        <v>39</v>
      </c>
      <c r="G201" s="4">
        <v>1217.9100000000001</v>
      </c>
      <c r="H201" s="4">
        <v>1400</v>
      </c>
    </row>
    <row r="202" spans="1:8" x14ac:dyDescent="0.2">
      <c r="A202" s="2">
        <v>100201</v>
      </c>
      <c r="B202" s="3">
        <v>46096</v>
      </c>
      <c r="C202" s="2" t="s">
        <v>52</v>
      </c>
      <c r="D202" s="2" t="s">
        <v>9</v>
      </c>
      <c r="E202" s="2" t="s">
        <v>34</v>
      </c>
      <c r="F202" s="2" t="s">
        <v>38</v>
      </c>
      <c r="G202" s="4">
        <v>1051.8699999999999</v>
      </c>
      <c r="H202" s="4">
        <v>1400</v>
      </c>
    </row>
    <row r="203" spans="1:8" x14ac:dyDescent="0.2">
      <c r="A203" s="2">
        <v>100202</v>
      </c>
      <c r="B203" s="3">
        <v>46091</v>
      </c>
      <c r="C203" s="2" t="s">
        <v>52</v>
      </c>
      <c r="D203" s="2" t="s">
        <v>12</v>
      </c>
      <c r="E203" s="2" t="s">
        <v>20</v>
      </c>
      <c r="F203" s="2" t="s">
        <v>29</v>
      </c>
      <c r="G203" s="4">
        <v>275.88</v>
      </c>
      <c r="H203" s="4">
        <v>360</v>
      </c>
    </row>
    <row r="204" spans="1:8" x14ac:dyDescent="0.2">
      <c r="A204" s="2">
        <v>100203</v>
      </c>
      <c r="B204" s="3">
        <v>46096</v>
      </c>
      <c r="C204" s="2" t="s">
        <v>52</v>
      </c>
      <c r="D204" s="2" t="s">
        <v>12</v>
      </c>
      <c r="E204" s="2" t="s">
        <v>20</v>
      </c>
      <c r="F204" s="2" t="s">
        <v>22</v>
      </c>
      <c r="G204" s="4">
        <v>396.54</v>
      </c>
      <c r="H204" s="4">
        <v>360</v>
      </c>
    </row>
    <row r="205" spans="1:8" x14ac:dyDescent="0.2">
      <c r="A205" s="2">
        <v>100204</v>
      </c>
      <c r="B205" s="3">
        <v>46107</v>
      </c>
      <c r="C205" s="2" t="s">
        <v>52</v>
      </c>
      <c r="D205" s="2" t="s">
        <v>9</v>
      </c>
      <c r="E205" s="2" t="s">
        <v>20</v>
      </c>
      <c r="F205" s="2" t="s">
        <v>21</v>
      </c>
      <c r="G205" s="4">
        <v>436.3</v>
      </c>
      <c r="H205" s="4">
        <v>360</v>
      </c>
    </row>
    <row r="206" spans="1:8" x14ac:dyDescent="0.2">
      <c r="A206" s="2">
        <v>100205</v>
      </c>
      <c r="B206" s="3">
        <v>46099</v>
      </c>
      <c r="C206" s="2" t="s">
        <v>52</v>
      </c>
      <c r="D206" s="2" t="s">
        <v>9</v>
      </c>
      <c r="E206" s="2" t="s">
        <v>20</v>
      </c>
      <c r="F206" s="2" t="s">
        <v>51</v>
      </c>
      <c r="G206" s="4">
        <v>346.53</v>
      </c>
      <c r="H206" s="4">
        <v>360</v>
      </c>
    </row>
    <row r="207" spans="1:8" x14ac:dyDescent="0.2">
      <c r="A207" s="2">
        <v>100206</v>
      </c>
      <c r="B207" s="3">
        <v>46108</v>
      </c>
      <c r="C207" s="2" t="s">
        <v>52</v>
      </c>
      <c r="D207" s="2" t="s">
        <v>9</v>
      </c>
      <c r="E207" s="2" t="s">
        <v>20</v>
      </c>
      <c r="F207" s="2" t="s">
        <v>51</v>
      </c>
      <c r="G207" s="4">
        <v>433.51</v>
      </c>
      <c r="H207" s="4">
        <v>360</v>
      </c>
    </row>
    <row r="208" spans="1:8" x14ac:dyDescent="0.2">
      <c r="A208" s="2">
        <v>100207</v>
      </c>
      <c r="B208" s="3">
        <v>46136</v>
      </c>
      <c r="C208" s="2" t="s">
        <v>8</v>
      </c>
      <c r="D208" s="2" t="s">
        <v>9</v>
      </c>
      <c r="E208" s="2" t="s">
        <v>10</v>
      </c>
      <c r="F208" s="2" t="s">
        <v>63</v>
      </c>
      <c r="G208" s="4">
        <v>90342.53</v>
      </c>
      <c r="H208" s="4">
        <v>90000</v>
      </c>
    </row>
    <row r="209" spans="1:8" x14ac:dyDescent="0.2">
      <c r="A209" s="2">
        <v>100208</v>
      </c>
      <c r="B209" s="3">
        <v>46135</v>
      </c>
      <c r="C209" s="2" t="s">
        <v>8</v>
      </c>
      <c r="D209" s="2" t="s">
        <v>16</v>
      </c>
      <c r="E209" s="2" t="s">
        <v>10</v>
      </c>
      <c r="F209" s="2" t="s">
        <v>13</v>
      </c>
      <c r="G209" s="4">
        <v>107490.51</v>
      </c>
      <c r="H209" s="4">
        <v>90000</v>
      </c>
    </row>
    <row r="210" spans="1:8" x14ac:dyDescent="0.2">
      <c r="A210" s="2">
        <v>100209</v>
      </c>
      <c r="B210" s="3">
        <v>46127</v>
      </c>
      <c r="C210" s="2" t="s">
        <v>8</v>
      </c>
      <c r="D210" s="2" t="s">
        <v>12</v>
      </c>
      <c r="E210" s="2" t="s">
        <v>14</v>
      </c>
      <c r="F210" s="2" t="s">
        <v>15</v>
      </c>
      <c r="G210" s="4">
        <v>4589.96</v>
      </c>
      <c r="H210" s="4">
        <v>4500</v>
      </c>
    </row>
    <row r="211" spans="1:8" x14ac:dyDescent="0.2">
      <c r="A211" s="2">
        <v>100210</v>
      </c>
      <c r="B211" s="3">
        <v>46126</v>
      </c>
      <c r="C211" s="2" t="s">
        <v>8</v>
      </c>
      <c r="D211" s="2" t="s">
        <v>12</v>
      </c>
      <c r="E211" s="2" t="s">
        <v>14</v>
      </c>
      <c r="F211" s="2" t="s">
        <v>15</v>
      </c>
      <c r="G211" s="4">
        <v>3464.69</v>
      </c>
      <c r="H211" s="4">
        <v>4500</v>
      </c>
    </row>
    <row r="212" spans="1:8" x14ac:dyDescent="0.2">
      <c r="A212" s="2">
        <v>100211</v>
      </c>
      <c r="B212" s="3">
        <v>46115</v>
      </c>
      <c r="C212" s="2" t="s">
        <v>8</v>
      </c>
      <c r="D212" s="2" t="s">
        <v>12</v>
      </c>
      <c r="E212" s="2" t="s">
        <v>14</v>
      </c>
      <c r="F212" s="2" t="s">
        <v>15</v>
      </c>
      <c r="G212" s="4">
        <v>3938.33</v>
      </c>
      <c r="H212" s="4">
        <v>4500</v>
      </c>
    </row>
    <row r="213" spans="1:8" x14ac:dyDescent="0.2">
      <c r="A213" s="2">
        <v>100212</v>
      </c>
      <c r="B213" s="3">
        <v>46131</v>
      </c>
      <c r="C213" s="2" t="s">
        <v>8</v>
      </c>
      <c r="D213" s="2" t="s">
        <v>12</v>
      </c>
      <c r="E213" s="2" t="s">
        <v>14</v>
      </c>
      <c r="F213" s="2" t="s">
        <v>15</v>
      </c>
      <c r="G213" s="4">
        <v>5255.91</v>
      </c>
      <c r="H213" s="4">
        <v>4500</v>
      </c>
    </row>
    <row r="214" spans="1:8" x14ac:dyDescent="0.2">
      <c r="A214" s="2">
        <v>100213</v>
      </c>
      <c r="B214" s="3">
        <v>46137</v>
      </c>
      <c r="C214" s="2" t="s">
        <v>8</v>
      </c>
      <c r="D214" s="2" t="s">
        <v>12</v>
      </c>
      <c r="E214" s="2" t="s">
        <v>17</v>
      </c>
      <c r="F214" s="2" t="s">
        <v>58</v>
      </c>
      <c r="G214" s="4">
        <v>770.12</v>
      </c>
      <c r="H214" s="4">
        <v>1000</v>
      </c>
    </row>
    <row r="215" spans="1:8" x14ac:dyDescent="0.2">
      <c r="A215" s="2">
        <v>100214</v>
      </c>
      <c r="B215" s="3">
        <v>46127</v>
      </c>
      <c r="C215" s="2" t="s">
        <v>8</v>
      </c>
      <c r="D215" s="2" t="s">
        <v>16</v>
      </c>
      <c r="E215" s="2" t="s">
        <v>17</v>
      </c>
      <c r="F215" s="2" t="s">
        <v>19</v>
      </c>
      <c r="G215" s="4">
        <v>1009.48</v>
      </c>
      <c r="H215" s="4">
        <v>1000</v>
      </c>
    </row>
    <row r="216" spans="1:8" x14ac:dyDescent="0.2">
      <c r="A216" s="2">
        <v>100215</v>
      </c>
      <c r="B216" s="3">
        <v>46126</v>
      </c>
      <c r="C216" s="2" t="s">
        <v>8</v>
      </c>
      <c r="D216" s="2" t="s">
        <v>9</v>
      </c>
      <c r="E216" s="2" t="s">
        <v>17</v>
      </c>
      <c r="F216" s="2" t="s">
        <v>33</v>
      </c>
      <c r="G216" s="4">
        <v>1248.47</v>
      </c>
      <c r="H216" s="4">
        <v>1000</v>
      </c>
    </row>
    <row r="217" spans="1:8" x14ac:dyDescent="0.2">
      <c r="A217" s="2">
        <v>100216</v>
      </c>
      <c r="B217" s="3">
        <v>46126</v>
      </c>
      <c r="C217" s="2" t="s">
        <v>8</v>
      </c>
      <c r="D217" s="2" t="s">
        <v>9</v>
      </c>
      <c r="E217" s="2" t="s">
        <v>17</v>
      </c>
      <c r="F217" s="2" t="s">
        <v>19</v>
      </c>
      <c r="G217" s="4">
        <v>985.01</v>
      </c>
      <c r="H217" s="4">
        <v>1000</v>
      </c>
    </row>
    <row r="218" spans="1:8" x14ac:dyDescent="0.2">
      <c r="A218" s="2">
        <v>100217</v>
      </c>
      <c r="B218" s="3">
        <v>46118</v>
      </c>
      <c r="C218" s="2" t="s">
        <v>8</v>
      </c>
      <c r="D218" s="2" t="s">
        <v>12</v>
      </c>
      <c r="E218" s="2" t="s">
        <v>20</v>
      </c>
      <c r="F218" s="2" t="s">
        <v>28</v>
      </c>
      <c r="G218" s="4">
        <v>501.44</v>
      </c>
      <c r="H218" s="4">
        <v>625</v>
      </c>
    </row>
    <row r="219" spans="1:8" x14ac:dyDescent="0.2">
      <c r="A219" s="2">
        <v>100218</v>
      </c>
      <c r="B219" s="3">
        <v>46122</v>
      </c>
      <c r="C219" s="2" t="s">
        <v>8</v>
      </c>
      <c r="D219" s="2" t="s">
        <v>16</v>
      </c>
      <c r="E219" s="2" t="s">
        <v>20</v>
      </c>
      <c r="F219" s="2" t="s">
        <v>29</v>
      </c>
      <c r="G219" s="4">
        <v>685.52</v>
      </c>
      <c r="H219" s="4">
        <v>625</v>
      </c>
    </row>
    <row r="220" spans="1:8" x14ac:dyDescent="0.2">
      <c r="A220" s="2">
        <v>100219</v>
      </c>
      <c r="B220" s="3">
        <v>46130</v>
      </c>
      <c r="C220" s="2" t="s">
        <v>8</v>
      </c>
      <c r="D220" s="2" t="s">
        <v>16</v>
      </c>
      <c r="E220" s="2" t="s">
        <v>20</v>
      </c>
      <c r="F220" s="2" t="s">
        <v>22</v>
      </c>
      <c r="G220" s="4">
        <v>722.99</v>
      </c>
      <c r="H220" s="4">
        <v>625</v>
      </c>
    </row>
    <row r="221" spans="1:8" x14ac:dyDescent="0.2">
      <c r="A221" s="2">
        <v>100220</v>
      </c>
      <c r="B221" s="3">
        <v>46121</v>
      </c>
      <c r="C221" s="2" t="s">
        <v>8</v>
      </c>
      <c r="D221" s="2" t="s">
        <v>16</v>
      </c>
      <c r="E221" s="2" t="s">
        <v>20</v>
      </c>
      <c r="F221" s="2" t="s">
        <v>28</v>
      </c>
      <c r="G221" s="4">
        <v>496.27</v>
      </c>
      <c r="H221" s="4">
        <v>625</v>
      </c>
    </row>
    <row r="222" spans="1:8" x14ac:dyDescent="0.2">
      <c r="A222" s="2">
        <v>100221</v>
      </c>
      <c r="B222" s="3">
        <v>46139</v>
      </c>
      <c r="C222" s="2" t="s">
        <v>23</v>
      </c>
      <c r="D222" s="2" t="s">
        <v>16</v>
      </c>
      <c r="E222" s="2" t="s">
        <v>24</v>
      </c>
      <c r="F222" s="2" t="s">
        <v>25</v>
      </c>
      <c r="G222" s="4">
        <v>20692.97</v>
      </c>
      <c r="H222" s="4">
        <v>17500</v>
      </c>
    </row>
    <row r="223" spans="1:8" x14ac:dyDescent="0.2">
      <c r="A223" s="2">
        <v>100222</v>
      </c>
      <c r="B223" s="3">
        <v>46127</v>
      </c>
      <c r="C223" s="2" t="s">
        <v>23</v>
      </c>
      <c r="D223" s="2" t="s">
        <v>12</v>
      </c>
      <c r="E223" s="2" t="s">
        <v>24</v>
      </c>
      <c r="F223" s="2" t="s">
        <v>62</v>
      </c>
      <c r="G223" s="4">
        <v>20731.97</v>
      </c>
      <c r="H223" s="4">
        <v>17500</v>
      </c>
    </row>
    <row r="224" spans="1:8" x14ac:dyDescent="0.2">
      <c r="A224" s="2">
        <v>100223</v>
      </c>
      <c r="B224" s="3">
        <v>46132</v>
      </c>
      <c r="C224" s="2" t="s">
        <v>23</v>
      </c>
      <c r="D224" s="2" t="s">
        <v>9</v>
      </c>
      <c r="E224" s="2" t="s">
        <v>20</v>
      </c>
      <c r="F224" s="2" t="s">
        <v>21</v>
      </c>
      <c r="G224" s="4">
        <v>1513.83</v>
      </c>
      <c r="H224" s="4">
        <v>1500</v>
      </c>
    </row>
    <row r="225" spans="1:8" x14ac:dyDescent="0.2">
      <c r="A225" s="2">
        <v>100224</v>
      </c>
      <c r="B225" s="3">
        <v>46137</v>
      </c>
      <c r="C225" s="2" t="s">
        <v>23</v>
      </c>
      <c r="D225" s="2" t="s">
        <v>16</v>
      </c>
      <c r="E225" s="2" t="s">
        <v>20</v>
      </c>
      <c r="F225" s="2" t="s">
        <v>22</v>
      </c>
      <c r="G225" s="4">
        <v>1594.06</v>
      </c>
      <c r="H225" s="4">
        <v>1500</v>
      </c>
    </row>
    <row r="226" spans="1:8" x14ac:dyDescent="0.2">
      <c r="A226" s="2">
        <v>100225</v>
      </c>
      <c r="B226" s="3">
        <v>46122</v>
      </c>
      <c r="C226" s="2" t="s">
        <v>23</v>
      </c>
      <c r="D226" s="2" t="s">
        <v>16</v>
      </c>
      <c r="E226" s="2" t="s">
        <v>17</v>
      </c>
      <c r="F226" s="2" t="s">
        <v>33</v>
      </c>
      <c r="G226" s="4">
        <v>853.84</v>
      </c>
      <c r="H226" s="4">
        <v>833.33</v>
      </c>
    </row>
    <row r="227" spans="1:8" x14ac:dyDescent="0.2">
      <c r="A227" s="2">
        <v>100226</v>
      </c>
      <c r="B227" s="3">
        <v>46113</v>
      </c>
      <c r="C227" s="2" t="s">
        <v>23</v>
      </c>
      <c r="D227" s="2" t="s">
        <v>12</v>
      </c>
      <c r="E227" s="2" t="s">
        <v>17</v>
      </c>
      <c r="F227" s="2" t="s">
        <v>32</v>
      </c>
      <c r="G227" s="4">
        <v>826.96</v>
      </c>
      <c r="H227" s="4">
        <v>833.33</v>
      </c>
    </row>
    <row r="228" spans="1:8" x14ac:dyDescent="0.2">
      <c r="A228" s="2">
        <v>100227</v>
      </c>
      <c r="B228" s="3">
        <v>46122</v>
      </c>
      <c r="C228" s="2" t="s">
        <v>23</v>
      </c>
      <c r="D228" s="2" t="s">
        <v>9</v>
      </c>
      <c r="E228" s="2" t="s">
        <v>17</v>
      </c>
      <c r="F228" s="2" t="s">
        <v>32</v>
      </c>
      <c r="G228" s="4">
        <v>920.74</v>
      </c>
      <c r="H228" s="4">
        <v>833.33</v>
      </c>
    </row>
    <row r="229" spans="1:8" x14ac:dyDescent="0.2">
      <c r="A229" s="2">
        <v>100228</v>
      </c>
      <c r="B229" s="3">
        <v>46120</v>
      </c>
      <c r="C229" s="2" t="s">
        <v>23</v>
      </c>
      <c r="D229" s="2" t="s">
        <v>12</v>
      </c>
      <c r="E229" s="2" t="s">
        <v>34</v>
      </c>
      <c r="F229" s="2" t="s">
        <v>39</v>
      </c>
      <c r="G229" s="4">
        <v>2861.99</v>
      </c>
      <c r="H229" s="4">
        <v>3000</v>
      </c>
    </row>
    <row r="230" spans="1:8" x14ac:dyDescent="0.2">
      <c r="A230" s="2">
        <v>100229</v>
      </c>
      <c r="B230" s="3">
        <v>46133</v>
      </c>
      <c r="C230" s="2" t="s">
        <v>23</v>
      </c>
      <c r="D230" s="2" t="s">
        <v>16</v>
      </c>
      <c r="E230" s="2" t="s">
        <v>34</v>
      </c>
      <c r="F230" s="2" t="s">
        <v>35</v>
      </c>
      <c r="G230" s="4">
        <v>3670.59</v>
      </c>
      <c r="H230" s="4">
        <v>3000</v>
      </c>
    </row>
    <row r="231" spans="1:8" x14ac:dyDescent="0.2">
      <c r="A231" s="2">
        <v>100230</v>
      </c>
      <c r="B231" s="3">
        <v>46135</v>
      </c>
      <c r="C231" s="2" t="s">
        <v>40</v>
      </c>
      <c r="D231" s="2" t="s">
        <v>12</v>
      </c>
      <c r="E231" s="2" t="s">
        <v>41</v>
      </c>
      <c r="F231" s="2" t="s">
        <v>42</v>
      </c>
      <c r="G231" s="4">
        <v>17022.68</v>
      </c>
      <c r="H231" s="4">
        <v>19000</v>
      </c>
    </row>
    <row r="232" spans="1:8" x14ac:dyDescent="0.2">
      <c r="A232" s="2">
        <v>100231</v>
      </c>
      <c r="B232" s="3">
        <v>46128</v>
      </c>
      <c r="C232" s="2" t="s">
        <v>40</v>
      </c>
      <c r="D232" s="2" t="s">
        <v>16</v>
      </c>
      <c r="E232" s="2" t="s">
        <v>41</v>
      </c>
      <c r="F232" s="2" t="s">
        <v>42</v>
      </c>
      <c r="G232" s="4">
        <v>22179.88</v>
      </c>
      <c r="H232" s="4">
        <v>19000</v>
      </c>
    </row>
    <row r="233" spans="1:8" x14ac:dyDescent="0.2">
      <c r="A233" s="2">
        <v>100232</v>
      </c>
      <c r="B233" s="3">
        <v>46125</v>
      </c>
      <c r="C233" s="2" t="s">
        <v>40</v>
      </c>
      <c r="D233" s="2" t="s">
        <v>16</v>
      </c>
      <c r="E233" s="2" t="s">
        <v>41</v>
      </c>
      <c r="F233" s="2" t="s">
        <v>42</v>
      </c>
      <c r="G233" s="4">
        <v>19487.02</v>
      </c>
      <c r="H233" s="4">
        <v>19000</v>
      </c>
    </row>
    <row r="234" spans="1:8" x14ac:dyDescent="0.2">
      <c r="A234" s="2">
        <v>100233</v>
      </c>
      <c r="B234" s="3">
        <v>46117</v>
      </c>
      <c r="C234" s="2" t="s">
        <v>40</v>
      </c>
      <c r="D234" s="2" t="s">
        <v>12</v>
      </c>
      <c r="E234" s="2" t="s">
        <v>41</v>
      </c>
      <c r="F234" s="2" t="s">
        <v>42</v>
      </c>
      <c r="G234" s="4">
        <v>19078.29</v>
      </c>
      <c r="H234" s="4">
        <v>19000</v>
      </c>
    </row>
    <row r="235" spans="1:8" x14ac:dyDescent="0.2">
      <c r="A235" s="2">
        <v>100234</v>
      </c>
      <c r="B235" s="3">
        <v>46140</v>
      </c>
      <c r="C235" s="2" t="s">
        <v>40</v>
      </c>
      <c r="D235" s="2" t="s">
        <v>16</v>
      </c>
      <c r="E235" s="2" t="s">
        <v>41</v>
      </c>
      <c r="F235" s="2" t="s">
        <v>42</v>
      </c>
      <c r="G235" s="4">
        <v>21590.41</v>
      </c>
      <c r="H235" s="4">
        <v>19000</v>
      </c>
    </row>
    <row r="236" spans="1:8" x14ac:dyDescent="0.2">
      <c r="A236" s="2">
        <v>100235</v>
      </c>
      <c r="B236" s="3">
        <v>46113</v>
      </c>
      <c r="C236" s="2" t="s">
        <v>40</v>
      </c>
      <c r="D236" s="2" t="s">
        <v>12</v>
      </c>
      <c r="E236" s="2" t="s">
        <v>20</v>
      </c>
      <c r="F236" s="2" t="s">
        <v>28</v>
      </c>
      <c r="G236" s="4">
        <v>994.03</v>
      </c>
      <c r="H236" s="4">
        <v>1125</v>
      </c>
    </row>
    <row r="237" spans="1:8" x14ac:dyDescent="0.2">
      <c r="A237" s="2">
        <v>100236</v>
      </c>
      <c r="B237" s="3">
        <v>46131</v>
      </c>
      <c r="C237" s="2" t="s">
        <v>40</v>
      </c>
      <c r="D237" s="2" t="s">
        <v>12</v>
      </c>
      <c r="E237" s="2" t="s">
        <v>20</v>
      </c>
      <c r="F237" s="2" t="s">
        <v>30</v>
      </c>
      <c r="G237" s="4">
        <v>1011.69</v>
      </c>
      <c r="H237" s="4">
        <v>1125</v>
      </c>
    </row>
    <row r="238" spans="1:8" x14ac:dyDescent="0.2">
      <c r="A238" s="2">
        <v>100237</v>
      </c>
      <c r="B238" s="3">
        <v>46117</v>
      </c>
      <c r="C238" s="2" t="s">
        <v>40</v>
      </c>
      <c r="D238" s="2" t="s">
        <v>12</v>
      </c>
      <c r="E238" s="2" t="s">
        <v>20</v>
      </c>
      <c r="F238" s="2" t="s">
        <v>31</v>
      </c>
      <c r="G238" s="4">
        <v>1119.17</v>
      </c>
      <c r="H238" s="4">
        <v>1125</v>
      </c>
    </row>
    <row r="239" spans="1:8" x14ac:dyDescent="0.2">
      <c r="A239" s="2">
        <v>100238</v>
      </c>
      <c r="B239" s="3">
        <v>46123</v>
      </c>
      <c r="C239" s="2" t="s">
        <v>40</v>
      </c>
      <c r="D239" s="2" t="s">
        <v>12</v>
      </c>
      <c r="E239" s="2" t="s">
        <v>20</v>
      </c>
      <c r="F239" s="2" t="s">
        <v>30</v>
      </c>
      <c r="G239" s="4">
        <v>1116.19</v>
      </c>
      <c r="H239" s="4">
        <v>1125</v>
      </c>
    </row>
    <row r="240" spans="1:8" x14ac:dyDescent="0.2">
      <c r="A240" s="2">
        <v>100239</v>
      </c>
      <c r="B240" s="3">
        <v>46140</v>
      </c>
      <c r="C240" s="2" t="s">
        <v>40</v>
      </c>
      <c r="D240" s="2" t="s">
        <v>16</v>
      </c>
      <c r="E240" s="2" t="s">
        <v>43</v>
      </c>
      <c r="F240" s="2" t="s">
        <v>45</v>
      </c>
      <c r="G240" s="4">
        <v>2919.42</v>
      </c>
      <c r="H240" s="4">
        <v>2400</v>
      </c>
    </row>
    <row r="241" spans="1:8" x14ac:dyDescent="0.2">
      <c r="A241" s="2">
        <v>100240</v>
      </c>
      <c r="B241" s="3">
        <v>46125</v>
      </c>
      <c r="C241" s="2" t="s">
        <v>40</v>
      </c>
      <c r="D241" s="2" t="s">
        <v>12</v>
      </c>
      <c r="E241" s="2" t="s">
        <v>43</v>
      </c>
      <c r="F241" s="2" t="s">
        <v>45</v>
      </c>
      <c r="G241" s="4">
        <v>2086.5700000000002</v>
      </c>
      <c r="H241" s="4">
        <v>2400</v>
      </c>
    </row>
    <row r="242" spans="1:8" x14ac:dyDescent="0.2">
      <c r="A242" s="2">
        <v>100241</v>
      </c>
      <c r="B242" s="3">
        <v>46136</v>
      </c>
      <c r="C242" s="2" t="s">
        <v>40</v>
      </c>
      <c r="D242" s="2" t="s">
        <v>16</v>
      </c>
      <c r="E242" s="2" t="s">
        <v>43</v>
      </c>
      <c r="F242" s="2" t="s">
        <v>59</v>
      </c>
      <c r="G242" s="4">
        <v>1852.38</v>
      </c>
      <c r="H242" s="4">
        <v>2400</v>
      </c>
    </row>
    <row r="243" spans="1:8" x14ac:dyDescent="0.2">
      <c r="A243" s="2">
        <v>100242</v>
      </c>
      <c r="B243" s="3">
        <v>46125</v>
      </c>
      <c r="C243" s="2" t="s">
        <v>40</v>
      </c>
      <c r="D243" s="2" t="s">
        <v>12</v>
      </c>
      <c r="E243" s="2" t="s">
        <v>43</v>
      </c>
      <c r="F243" s="2" t="s">
        <v>59</v>
      </c>
      <c r="G243" s="4">
        <v>2896.12</v>
      </c>
      <c r="H243" s="4">
        <v>2400</v>
      </c>
    </row>
    <row r="244" spans="1:8" x14ac:dyDescent="0.2">
      <c r="A244" s="2">
        <v>100243</v>
      </c>
      <c r="B244" s="3">
        <v>46133</v>
      </c>
      <c r="C244" s="2" t="s">
        <v>40</v>
      </c>
      <c r="D244" s="2" t="s">
        <v>12</v>
      </c>
      <c r="E244" s="2" t="s">
        <v>43</v>
      </c>
      <c r="F244" s="2" t="s">
        <v>45</v>
      </c>
      <c r="G244" s="4">
        <v>2750.87</v>
      </c>
      <c r="H244" s="4">
        <v>2400</v>
      </c>
    </row>
    <row r="245" spans="1:8" x14ac:dyDescent="0.2">
      <c r="A245" s="2">
        <v>100244</v>
      </c>
      <c r="B245" s="3">
        <v>46131</v>
      </c>
      <c r="C245" s="2" t="s">
        <v>40</v>
      </c>
      <c r="D245" s="2" t="s">
        <v>9</v>
      </c>
      <c r="E245" s="2" t="s">
        <v>34</v>
      </c>
      <c r="F245" s="2" t="s">
        <v>36</v>
      </c>
      <c r="G245" s="4">
        <v>813.12</v>
      </c>
      <c r="H245" s="4">
        <v>1000</v>
      </c>
    </row>
    <row r="246" spans="1:8" x14ac:dyDescent="0.2">
      <c r="A246" s="2">
        <v>100245</v>
      </c>
      <c r="B246" s="3">
        <v>46127</v>
      </c>
      <c r="C246" s="2" t="s">
        <v>40</v>
      </c>
      <c r="D246" s="2" t="s">
        <v>9</v>
      </c>
      <c r="E246" s="2" t="s">
        <v>34</v>
      </c>
      <c r="F246" s="2" t="s">
        <v>39</v>
      </c>
      <c r="G246" s="4">
        <v>1187.0999999999999</v>
      </c>
      <c r="H246" s="4">
        <v>1000</v>
      </c>
    </row>
    <row r="247" spans="1:8" x14ac:dyDescent="0.2">
      <c r="A247" s="2">
        <v>100246</v>
      </c>
      <c r="B247" s="3">
        <v>46113</v>
      </c>
      <c r="C247" s="2" t="s">
        <v>40</v>
      </c>
      <c r="D247" s="2" t="s">
        <v>12</v>
      </c>
      <c r="E247" s="2" t="s">
        <v>34</v>
      </c>
      <c r="F247" s="2" t="s">
        <v>35</v>
      </c>
      <c r="G247" s="4">
        <v>1205.22</v>
      </c>
      <c r="H247" s="4">
        <v>1000</v>
      </c>
    </row>
    <row r="248" spans="1:8" x14ac:dyDescent="0.2">
      <c r="A248" s="2">
        <v>100247</v>
      </c>
      <c r="B248" s="3">
        <v>46117</v>
      </c>
      <c r="C248" s="2" t="s">
        <v>40</v>
      </c>
      <c r="D248" s="2" t="s">
        <v>16</v>
      </c>
      <c r="E248" s="2" t="s">
        <v>34</v>
      </c>
      <c r="F248" s="2" t="s">
        <v>39</v>
      </c>
      <c r="G248" s="4">
        <v>1185.47</v>
      </c>
      <c r="H248" s="4">
        <v>1000</v>
      </c>
    </row>
    <row r="249" spans="1:8" x14ac:dyDescent="0.2">
      <c r="A249" s="2">
        <v>100248</v>
      </c>
      <c r="B249" s="3">
        <v>46121</v>
      </c>
      <c r="C249" s="2" t="s">
        <v>40</v>
      </c>
      <c r="D249" s="2" t="s">
        <v>16</v>
      </c>
      <c r="E249" s="2" t="s">
        <v>34</v>
      </c>
      <c r="F249" s="2" t="s">
        <v>36</v>
      </c>
      <c r="G249" s="4">
        <v>1140.76</v>
      </c>
      <c r="H249" s="4">
        <v>1000</v>
      </c>
    </row>
    <row r="250" spans="1:8" x14ac:dyDescent="0.2">
      <c r="A250" s="2">
        <v>100249</v>
      </c>
      <c r="B250" s="3">
        <v>46123</v>
      </c>
      <c r="C250" s="2" t="s">
        <v>46</v>
      </c>
      <c r="D250" s="2" t="s">
        <v>12</v>
      </c>
      <c r="E250" s="2" t="s">
        <v>41</v>
      </c>
      <c r="F250" s="2" t="s">
        <v>42</v>
      </c>
      <c r="G250" s="4">
        <v>6637.32</v>
      </c>
      <c r="H250" s="4">
        <v>8400</v>
      </c>
    </row>
    <row r="251" spans="1:8" x14ac:dyDescent="0.2">
      <c r="A251" s="2">
        <v>100250</v>
      </c>
      <c r="B251" s="3">
        <v>46137</v>
      </c>
      <c r="C251" s="2" t="s">
        <v>46</v>
      </c>
      <c r="D251" s="2" t="s">
        <v>16</v>
      </c>
      <c r="E251" s="2" t="s">
        <v>41</v>
      </c>
      <c r="F251" s="2" t="s">
        <v>42</v>
      </c>
      <c r="G251" s="4">
        <v>8932.56</v>
      </c>
      <c r="H251" s="4">
        <v>8400</v>
      </c>
    </row>
    <row r="252" spans="1:8" x14ac:dyDescent="0.2">
      <c r="A252" s="2">
        <v>100251</v>
      </c>
      <c r="B252" s="3">
        <v>46115</v>
      </c>
      <c r="C252" s="2" t="s">
        <v>46</v>
      </c>
      <c r="D252" s="2" t="s">
        <v>12</v>
      </c>
      <c r="E252" s="2" t="s">
        <v>41</v>
      </c>
      <c r="F252" s="2" t="s">
        <v>42</v>
      </c>
      <c r="G252" s="4">
        <v>6450.78</v>
      </c>
      <c r="H252" s="4">
        <v>8400</v>
      </c>
    </row>
    <row r="253" spans="1:8" x14ac:dyDescent="0.2">
      <c r="A253" s="2">
        <v>100252</v>
      </c>
      <c r="B253" s="3">
        <v>46122</v>
      </c>
      <c r="C253" s="2" t="s">
        <v>46</v>
      </c>
      <c r="D253" s="2" t="s">
        <v>12</v>
      </c>
      <c r="E253" s="2" t="s">
        <v>41</v>
      </c>
      <c r="F253" s="2" t="s">
        <v>42</v>
      </c>
      <c r="G253" s="4">
        <v>9174.48</v>
      </c>
      <c r="H253" s="4">
        <v>8400</v>
      </c>
    </row>
    <row r="254" spans="1:8" x14ac:dyDescent="0.2">
      <c r="A254" s="2">
        <v>100253</v>
      </c>
      <c r="B254" s="3">
        <v>46116</v>
      </c>
      <c r="C254" s="2" t="s">
        <v>46</v>
      </c>
      <c r="D254" s="2" t="s">
        <v>12</v>
      </c>
      <c r="E254" s="2" t="s">
        <v>41</v>
      </c>
      <c r="F254" s="2" t="s">
        <v>42</v>
      </c>
      <c r="G254" s="4">
        <v>6679.59</v>
      </c>
      <c r="H254" s="4">
        <v>8400</v>
      </c>
    </row>
    <row r="255" spans="1:8" x14ac:dyDescent="0.2">
      <c r="A255" s="2">
        <v>100254</v>
      </c>
      <c r="B255" s="3">
        <v>46113</v>
      </c>
      <c r="C255" s="2" t="s">
        <v>46</v>
      </c>
      <c r="D255" s="2" t="s">
        <v>9</v>
      </c>
      <c r="E255" s="2" t="s">
        <v>47</v>
      </c>
      <c r="F255" s="2" t="s">
        <v>60</v>
      </c>
      <c r="G255" s="4">
        <v>3291</v>
      </c>
      <c r="H255" s="4">
        <v>3000</v>
      </c>
    </row>
    <row r="256" spans="1:8" x14ac:dyDescent="0.2">
      <c r="A256" s="2">
        <v>100255</v>
      </c>
      <c r="B256" s="3">
        <v>46122</v>
      </c>
      <c r="C256" s="2" t="s">
        <v>46</v>
      </c>
      <c r="D256" s="2" t="s">
        <v>16</v>
      </c>
      <c r="E256" s="2" t="s">
        <v>47</v>
      </c>
      <c r="F256" s="2" t="s">
        <v>50</v>
      </c>
      <c r="G256" s="4">
        <v>3444.22</v>
      </c>
      <c r="H256" s="4">
        <v>3000</v>
      </c>
    </row>
    <row r="257" spans="1:8" x14ac:dyDescent="0.2">
      <c r="A257" s="2">
        <v>100256</v>
      </c>
      <c r="B257" s="3">
        <v>46120</v>
      </c>
      <c r="C257" s="2" t="s">
        <v>46</v>
      </c>
      <c r="D257" s="2" t="s">
        <v>16</v>
      </c>
      <c r="E257" s="2" t="s">
        <v>47</v>
      </c>
      <c r="F257" s="2" t="s">
        <v>48</v>
      </c>
      <c r="G257" s="4">
        <v>2896.03</v>
      </c>
      <c r="H257" s="4">
        <v>3000</v>
      </c>
    </row>
    <row r="258" spans="1:8" x14ac:dyDescent="0.2">
      <c r="A258" s="2">
        <v>100257</v>
      </c>
      <c r="B258" s="3">
        <v>46118</v>
      </c>
      <c r="C258" s="2" t="s">
        <v>46</v>
      </c>
      <c r="D258" s="2" t="s">
        <v>12</v>
      </c>
      <c r="E258" s="2" t="s">
        <v>47</v>
      </c>
      <c r="F258" s="2" t="s">
        <v>49</v>
      </c>
      <c r="G258" s="4">
        <v>3272.7</v>
      </c>
      <c r="H258" s="4">
        <v>3000</v>
      </c>
    </row>
    <row r="259" spans="1:8" x14ac:dyDescent="0.2">
      <c r="A259" s="2">
        <v>100258</v>
      </c>
      <c r="B259" s="3">
        <v>46140</v>
      </c>
      <c r="C259" s="2" t="s">
        <v>46</v>
      </c>
      <c r="D259" s="2" t="s">
        <v>9</v>
      </c>
      <c r="E259" s="2" t="s">
        <v>47</v>
      </c>
      <c r="F259" s="2" t="s">
        <v>48</v>
      </c>
      <c r="G259" s="4">
        <v>2368.4499999999998</v>
      </c>
      <c r="H259" s="4">
        <v>3000</v>
      </c>
    </row>
    <row r="260" spans="1:8" x14ac:dyDescent="0.2">
      <c r="A260" s="2">
        <v>100259</v>
      </c>
      <c r="B260" s="3">
        <v>46117</v>
      </c>
      <c r="C260" s="2" t="s">
        <v>46</v>
      </c>
      <c r="D260" s="2" t="s">
        <v>16</v>
      </c>
      <c r="E260" s="2" t="s">
        <v>20</v>
      </c>
      <c r="F260" s="2" t="s">
        <v>51</v>
      </c>
      <c r="G260" s="4">
        <v>804.28</v>
      </c>
      <c r="H260" s="4">
        <v>666.67</v>
      </c>
    </row>
    <row r="261" spans="1:8" x14ac:dyDescent="0.2">
      <c r="A261" s="2">
        <v>100260</v>
      </c>
      <c r="B261" s="3">
        <v>46127</v>
      </c>
      <c r="C261" s="2" t="s">
        <v>46</v>
      </c>
      <c r="D261" s="2" t="s">
        <v>16</v>
      </c>
      <c r="E261" s="2" t="s">
        <v>20</v>
      </c>
      <c r="F261" s="2" t="s">
        <v>28</v>
      </c>
      <c r="G261" s="4">
        <v>712.63</v>
      </c>
      <c r="H261" s="4">
        <v>666.67</v>
      </c>
    </row>
    <row r="262" spans="1:8" x14ac:dyDescent="0.2">
      <c r="A262" s="2">
        <v>100261</v>
      </c>
      <c r="B262" s="3">
        <v>46138</v>
      </c>
      <c r="C262" s="2" t="s">
        <v>46</v>
      </c>
      <c r="D262" s="2" t="s">
        <v>12</v>
      </c>
      <c r="E262" s="2" t="s">
        <v>20</v>
      </c>
      <c r="F262" s="2" t="s">
        <v>31</v>
      </c>
      <c r="G262" s="4">
        <v>503.13</v>
      </c>
      <c r="H262" s="4">
        <v>666.67</v>
      </c>
    </row>
    <row r="263" spans="1:8" x14ac:dyDescent="0.2">
      <c r="A263" s="2">
        <v>100262</v>
      </c>
      <c r="B263" s="3">
        <v>46115</v>
      </c>
      <c r="C263" s="2" t="s">
        <v>46</v>
      </c>
      <c r="D263" s="2" t="s">
        <v>12</v>
      </c>
      <c r="E263" s="2" t="s">
        <v>34</v>
      </c>
      <c r="F263" s="2" t="s">
        <v>37</v>
      </c>
      <c r="G263" s="4">
        <v>895.39</v>
      </c>
      <c r="H263" s="4">
        <v>875</v>
      </c>
    </row>
    <row r="264" spans="1:8" x14ac:dyDescent="0.2">
      <c r="A264" s="2">
        <v>100263</v>
      </c>
      <c r="B264" s="3">
        <v>46122</v>
      </c>
      <c r="C264" s="2" t="s">
        <v>46</v>
      </c>
      <c r="D264" s="2" t="s">
        <v>16</v>
      </c>
      <c r="E264" s="2" t="s">
        <v>34</v>
      </c>
      <c r="F264" s="2" t="s">
        <v>37</v>
      </c>
      <c r="G264" s="4">
        <v>1088.3499999999999</v>
      </c>
      <c r="H264" s="4">
        <v>875</v>
      </c>
    </row>
    <row r="265" spans="1:8" x14ac:dyDescent="0.2">
      <c r="A265" s="2">
        <v>100264</v>
      </c>
      <c r="B265" s="3">
        <v>46140</v>
      </c>
      <c r="C265" s="2" t="s">
        <v>46</v>
      </c>
      <c r="D265" s="2" t="s">
        <v>12</v>
      </c>
      <c r="E265" s="2" t="s">
        <v>34</v>
      </c>
      <c r="F265" s="2" t="s">
        <v>36</v>
      </c>
      <c r="G265" s="4">
        <v>765.67</v>
      </c>
      <c r="H265" s="4">
        <v>875</v>
      </c>
    </row>
    <row r="266" spans="1:8" x14ac:dyDescent="0.2">
      <c r="A266" s="2">
        <v>100265</v>
      </c>
      <c r="B266" s="3">
        <v>46140</v>
      </c>
      <c r="C266" s="2" t="s">
        <v>46</v>
      </c>
      <c r="D266" s="2" t="s">
        <v>9</v>
      </c>
      <c r="E266" s="2" t="s">
        <v>34</v>
      </c>
      <c r="F266" s="2" t="s">
        <v>37</v>
      </c>
      <c r="G266" s="4">
        <v>1093.48</v>
      </c>
      <c r="H266" s="4">
        <v>875</v>
      </c>
    </row>
    <row r="267" spans="1:8" x14ac:dyDescent="0.2">
      <c r="A267" s="2">
        <v>100266</v>
      </c>
      <c r="B267" s="3">
        <v>46124</v>
      </c>
      <c r="C267" s="2" t="s">
        <v>52</v>
      </c>
      <c r="D267" s="2" t="s">
        <v>9</v>
      </c>
      <c r="E267" s="2" t="s">
        <v>41</v>
      </c>
      <c r="F267" s="2" t="s">
        <v>42</v>
      </c>
      <c r="G267" s="4">
        <v>17872.96</v>
      </c>
      <c r="H267" s="4">
        <v>19000</v>
      </c>
    </row>
    <row r="268" spans="1:8" x14ac:dyDescent="0.2">
      <c r="A268" s="2">
        <v>100267</v>
      </c>
      <c r="B268" s="3">
        <v>46139</v>
      </c>
      <c r="C268" s="2" t="s">
        <v>52</v>
      </c>
      <c r="D268" s="2" t="s">
        <v>12</v>
      </c>
      <c r="E268" s="2" t="s">
        <v>41</v>
      </c>
      <c r="F268" s="2" t="s">
        <v>42</v>
      </c>
      <c r="G268" s="4">
        <v>14458.43</v>
      </c>
      <c r="H268" s="4">
        <v>19000</v>
      </c>
    </row>
    <row r="269" spans="1:8" x14ac:dyDescent="0.2">
      <c r="A269" s="2">
        <v>100268</v>
      </c>
      <c r="B269" s="3">
        <v>46134</v>
      </c>
      <c r="C269" s="2" t="s">
        <v>52</v>
      </c>
      <c r="D269" s="2" t="s">
        <v>9</v>
      </c>
      <c r="E269" s="2" t="s">
        <v>47</v>
      </c>
      <c r="F269" s="2" t="s">
        <v>60</v>
      </c>
      <c r="G269" s="4">
        <v>2065.9299999999998</v>
      </c>
      <c r="H269" s="4">
        <v>2000</v>
      </c>
    </row>
    <row r="270" spans="1:8" x14ac:dyDescent="0.2">
      <c r="A270" s="2">
        <v>100269</v>
      </c>
      <c r="B270" s="3">
        <v>46122</v>
      </c>
      <c r="C270" s="2" t="s">
        <v>52</v>
      </c>
      <c r="D270" s="2" t="s">
        <v>12</v>
      </c>
      <c r="E270" s="2" t="s">
        <v>47</v>
      </c>
      <c r="F270" s="2" t="s">
        <v>49</v>
      </c>
      <c r="G270" s="4">
        <v>2332.84</v>
      </c>
      <c r="H270" s="4">
        <v>2000</v>
      </c>
    </row>
    <row r="271" spans="1:8" x14ac:dyDescent="0.2">
      <c r="A271" s="2">
        <v>100270</v>
      </c>
      <c r="B271" s="3">
        <v>46119</v>
      </c>
      <c r="C271" s="2" t="s">
        <v>52</v>
      </c>
      <c r="D271" s="2" t="s">
        <v>12</v>
      </c>
      <c r="E271" s="2" t="s">
        <v>47</v>
      </c>
      <c r="F271" s="2" t="s">
        <v>50</v>
      </c>
      <c r="G271" s="4">
        <v>1719</v>
      </c>
      <c r="H271" s="4">
        <v>2000</v>
      </c>
    </row>
    <row r="272" spans="1:8" x14ac:dyDescent="0.2">
      <c r="A272" s="2">
        <v>100271</v>
      </c>
      <c r="B272" s="3">
        <v>46133</v>
      </c>
      <c r="C272" s="2" t="s">
        <v>52</v>
      </c>
      <c r="D272" s="2" t="s">
        <v>9</v>
      </c>
      <c r="E272" s="2" t="s">
        <v>47</v>
      </c>
      <c r="F272" s="2" t="s">
        <v>60</v>
      </c>
      <c r="G272" s="4">
        <v>2128.25</v>
      </c>
      <c r="H272" s="4">
        <v>2000</v>
      </c>
    </row>
    <row r="273" spans="1:8" x14ac:dyDescent="0.2">
      <c r="A273" s="2">
        <v>100272</v>
      </c>
      <c r="B273" s="3">
        <v>46124</v>
      </c>
      <c r="C273" s="2" t="s">
        <v>52</v>
      </c>
      <c r="D273" s="2" t="s">
        <v>12</v>
      </c>
      <c r="E273" s="2" t="s">
        <v>34</v>
      </c>
      <c r="F273" s="2" t="s">
        <v>35</v>
      </c>
      <c r="G273" s="4">
        <v>1341.69</v>
      </c>
      <c r="H273" s="4">
        <v>1750</v>
      </c>
    </row>
    <row r="274" spans="1:8" x14ac:dyDescent="0.2">
      <c r="A274" s="2">
        <v>100273</v>
      </c>
      <c r="B274" s="3">
        <v>46123</v>
      </c>
      <c r="C274" s="2" t="s">
        <v>52</v>
      </c>
      <c r="D274" s="2" t="s">
        <v>9</v>
      </c>
      <c r="E274" s="2" t="s">
        <v>34</v>
      </c>
      <c r="F274" s="2" t="s">
        <v>37</v>
      </c>
      <c r="G274" s="4">
        <v>2108.42</v>
      </c>
      <c r="H274" s="4">
        <v>1750</v>
      </c>
    </row>
    <row r="275" spans="1:8" x14ac:dyDescent="0.2">
      <c r="A275" s="2">
        <v>100274</v>
      </c>
      <c r="B275" s="3">
        <v>46138</v>
      </c>
      <c r="C275" s="2" t="s">
        <v>52</v>
      </c>
      <c r="D275" s="2" t="s">
        <v>9</v>
      </c>
      <c r="E275" s="2" t="s">
        <v>34</v>
      </c>
      <c r="F275" s="2" t="s">
        <v>38</v>
      </c>
      <c r="G275" s="4">
        <v>1488.2</v>
      </c>
      <c r="H275" s="4">
        <v>1750</v>
      </c>
    </row>
    <row r="276" spans="1:8" x14ac:dyDescent="0.2">
      <c r="A276" s="2">
        <v>100275</v>
      </c>
      <c r="B276" s="3">
        <v>46121</v>
      </c>
      <c r="C276" s="2" t="s">
        <v>52</v>
      </c>
      <c r="D276" s="2" t="s">
        <v>12</v>
      </c>
      <c r="E276" s="2" t="s">
        <v>34</v>
      </c>
      <c r="F276" s="2" t="s">
        <v>35</v>
      </c>
      <c r="G276" s="4">
        <v>1777</v>
      </c>
      <c r="H276" s="4">
        <v>1750</v>
      </c>
    </row>
    <row r="277" spans="1:8" x14ac:dyDescent="0.2">
      <c r="A277" s="2">
        <v>100276</v>
      </c>
      <c r="B277" s="3">
        <v>46122</v>
      </c>
      <c r="C277" s="2" t="s">
        <v>52</v>
      </c>
      <c r="D277" s="2" t="s">
        <v>12</v>
      </c>
      <c r="E277" s="2" t="s">
        <v>20</v>
      </c>
      <c r="F277" s="2" t="s">
        <v>29</v>
      </c>
      <c r="G277" s="4">
        <v>555.16</v>
      </c>
      <c r="H277" s="4">
        <v>450</v>
      </c>
    </row>
    <row r="278" spans="1:8" x14ac:dyDescent="0.2">
      <c r="A278" s="2">
        <v>100277</v>
      </c>
      <c r="B278" s="3">
        <v>46127</v>
      </c>
      <c r="C278" s="2" t="s">
        <v>52</v>
      </c>
      <c r="D278" s="2" t="s">
        <v>12</v>
      </c>
      <c r="E278" s="2" t="s">
        <v>20</v>
      </c>
      <c r="F278" s="2" t="s">
        <v>22</v>
      </c>
      <c r="G278" s="4">
        <v>518.45000000000005</v>
      </c>
      <c r="H278" s="4">
        <v>450</v>
      </c>
    </row>
    <row r="279" spans="1:8" x14ac:dyDescent="0.2">
      <c r="A279" s="2">
        <v>100278</v>
      </c>
      <c r="B279" s="3">
        <v>46120</v>
      </c>
      <c r="C279" s="2" t="s">
        <v>52</v>
      </c>
      <c r="D279" s="2" t="s">
        <v>9</v>
      </c>
      <c r="E279" s="2" t="s">
        <v>20</v>
      </c>
      <c r="F279" s="2" t="s">
        <v>21</v>
      </c>
      <c r="G279" s="4">
        <v>507.18</v>
      </c>
      <c r="H279" s="4">
        <v>450</v>
      </c>
    </row>
    <row r="280" spans="1:8" x14ac:dyDescent="0.2">
      <c r="A280" s="2">
        <v>100279</v>
      </c>
      <c r="B280" s="3">
        <v>46138</v>
      </c>
      <c r="C280" s="2" t="s">
        <v>52</v>
      </c>
      <c r="D280" s="2" t="s">
        <v>12</v>
      </c>
      <c r="E280" s="2" t="s">
        <v>20</v>
      </c>
      <c r="F280" s="2" t="s">
        <v>30</v>
      </c>
      <c r="G280" s="4">
        <v>555.14</v>
      </c>
      <c r="H280" s="4">
        <v>450</v>
      </c>
    </row>
    <row r="281" spans="1:8" x14ac:dyDescent="0.2">
      <c r="A281" s="2">
        <v>100280</v>
      </c>
      <c r="B281" s="3">
        <v>46160</v>
      </c>
      <c r="C281" s="2" t="s">
        <v>8</v>
      </c>
      <c r="D281" s="2" t="s">
        <v>9</v>
      </c>
      <c r="E281" s="2" t="s">
        <v>10</v>
      </c>
      <c r="F281" s="2" t="s">
        <v>11</v>
      </c>
      <c r="G281" s="4">
        <v>40491.33</v>
      </c>
      <c r="H281" s="4">
        <v>45000</v>
      </c>
    </row>
    <row r="282" spans="1:8" x14ac:dyDescent="0.2">
      <c r="A282" s="2">
        <v>100281</v>
      </c>
      <c r="B282" s="3">
        <v>46151</v>
      </c>
      <c r="C282" s="2" t="s">
        <v>8</v>
      </c>
      <c r="D282" s="2" t="s">
        <v>16</v>
      </c>
      <c r="E282" s="2" t="s">
        <v>10</v>
      </c>
      <c r="F282" s="2" t="s">
        <v>13</v>
      </c>
      <c r="G282" s="4">
        <v>57857.9</v>
      </c>
      <c r="H282" s="4">
        <v>45000</v>
      </c>
    </row>
    <row r="283" spans="1:8" x14ac:dyDescent="0.2">
      <c r="A283" s="2">
        <v>100282</v>
      </c>
      <c r="B283" s="3">
        <v>46150</v>
      </c>
      <c r="C283" s="2" t="s">
        <v>8</v>
      </c>
      <c r="D283" s="2" t="s">
        <v>12</v>
      </c>
      <c r="E283" s="2" t="s">
        <v>10</v>
      </c>
      <c r="F283" s="2" t="s">
        <v>53</v>
      </c>
      <c r="G283" s="4">
        <v>42722.18</v>
      </c>
      <c r="H283" s="4">
        <v>45000</v>
      </c>
    </row>
    <row r="284" spans="1:8" x14ac:dyDescent="0.2">
      <c r="A284" s="2">
        <v>100283</v>
      </c>
      <c r="B284" s="3">
        <v>46153</v>
      </c>
      <c r="C284" s="2" t="s">
        <v>8</v>
      </c>
      <c r="D284" s="2" t="s">
        <v>9</v>
      </c>
      <c r="E284" s="2" t="s">
        <v>10</v>
      </c>
      <c r="F284" s="2" t="s">
        <v>61</v>
      </c>
      <c r="G284" s="4">
        <v>62444.87</v>
      </c>
      <c r="H284" s="4">
        <v>45000</v>
      </c>
    </row>
    <row r="285" spans="1:8" x14ac:dyDescent="0.2">
      <c r="A285" s="2">
        <v>100284</v>
      </c>
      <c r="B285" s="3">
        <v>46165</v>
      </c>
      <c r="C285" s="2" t="s">
        <v>8</v>
      </c>
      <c r="D285" s="2" t="s">
        <v>12</v>
      </c>
      <c r="E285" s="2" t="s">
        <v>14</v>
      </c>
      <c r="F285" s="2" t="s">
        <v>15</v>
      </c>
      <c r="G285" s="4">
        <v>10457.35</v>
      </c>
      <c r="H285" s="4">
        <v>9000</v>
      </c>
    </row>
    <row r="286" spans="1:8" x14ac:dyDescent="0.2">
      <c r="A286" s="2">
        <v>100285</v>
      </c>
      <c r="B286" s="3">
        <v>46147</v>
      </c>
      <c r="C286" s="2" t="s">
        <v>8</v>
      </c>
      <c r="D286" s="2" t="s">
        <v>12</v>
      </c>
      <c r="E286" s="2" t="s">
        <v>14</v>
      </c>
      <c r="F286" s="2" t="s">
        <v>15</v>
      </c>
      <c r="G286" s="4">
        <v>8587.33</v>
      </c>
      <c r="H286" s="4">
        <v>9000</v>
      </c>
    </row>
    <row r="287" spans="1:8" x14ac:dyDescent="0.2">
      <c r="A287" s="2">
        <v>100286</v>
      </c>
      <c r="B287" s="3">
        <v>46146</v>
      </c>
      <c r="C287" s="2" t="s">
        <v>8</v>
      </c>
      <c r="D287" s="2" t="s">
        <v>16</v>
      </c>
      <c r="E287" s="2" t="s">
        <v>17</v>
      </c>
      <c r="F287" s="2" t="s">
        <v>18</v>
      </c>
      <c r="G287" s="4">
        <v>2495.9299999999998</v>
      </c>
      <c r="H287" s="4">
        <v>2000</v>
      </c>
    </row>
    <row r="288" spans="1:8" x14ac:dyDescent="0.2">
      <c r="A288" s="2">
        <v>100287</v>
      </c>
      <c r="B288" s="3">
        <v>46147</v>
      </c>
      <c r="C288" s="2" t="s">
        <v>8</v>
      </c>
      <c r="D288" s="2" t="s">
        <v>9</v>
      </c>
      <c r="E288" s="2" t="s">
        <v>17</v>
      </c>
      <c r="F288" s="2" t="s">
        <v>33</v>
      </c>
      <c r="G288" s="4">
        <v>2387.2600000000002</v>
      </c>
      <c r="H288" s="4">
        <v>2000</v>
      </c>
    </row>
    <row r="289" spans="1:8" x14ac:dyDescent="0.2">
      <c r="A289" s="2">
        <v>100288</v>
      </c>
      <c r="B289" s="3">
        <v>46166</v>
      </c>
      <c r="C289" s="2" t="s">
        <v>8</v>
      </c>
      <c r="D289" s="2" t="s">
        <v>16</v>
      </c>
      <c r="E289" s="2" t="s">
        <v>20</v>
      </c>
      <c r="F289" s="2" t="s">
        <v>29</v>
      </c>
      <c r="G289" s="4">
        <v>542.62</v>
      </c>
      <c r="H289" s="4">
        <v>500</v>
      </c>
    </row>
    <row r="290" spans="1:8" x14ac:dyDescent="0.2">
      <c r="A290" s="2">
        <v>100289</v>
      </c>
      <c r="B290" s="3">
        <v>46166</v>
      </c>
      <c r="C290" s="2" t="s">
        <v>8</v>
      </c>
      <c r="D290" s="2" t="s">
        <v>12</v>
      </c>
      <c r="E290" s="2" t="s">
        <v>20</v>
      </c>
      <c r="F290" s="2" t="s">
        <v>29</v>
      </c>
      <c r="G290" s="4">
        <v>479.78</v>
      </c>
      <c r="H290" s="4">
        <v>500</v>
      </c>
    </row>
    <row r="291" spans="1:8" x14ac:dyDescent="0.2">
      <c r="A291" s="2">
        <v>100290</v>
      </c>
      <c r="B291" s="3">
        <v>46163</v>
      </c>
      <c r="C291" s="2" t="s">
        <v>8</v>
      </c>
      <c r="D291" s="2" t="s">
        <v>9</v>
      </c>
      <c r="E291" s="2" t="s">
        <v>20</v>
      </c>
      <c r="F291" s="2" t="s">
        <v>22</v>
      </c>
      <c r="G291" s="4">
        <v>596.35</v>
      </c>
      <c r="H291" s="4">
        <v>500</v>
      </c>
    </row>
    <row r="292" spans="1:8" x14ac:dyDescent="0.2">
      <c r="A292" s="2">
        <v>100291</v>
      </c>
      <c r="B292" s="3">
        <v>46151</v>
      </c>
      <c r="C292" s="2" t="s">
        <v>8</v>
      </c>
      <c r="D292" s="2" t="s">
        <v>16</v>
      </c>
      <c r="E292" s="2" t="s">
        <v>20</v>
      </c>
      <c r="F292" s="2" t="s">
        <v>22</v>
      </c>
      <c r="G292" s="4">
        <v>528.91</v>
      </c>
      <c r="H292" s="4">
        <v>500</v>
      </c>
    </row>
    <row r="293" spans="1:8" x14ac:dyDescent="0.2">
      <c r="A293" s="2">
        <v>100292</v>
      </c>
      <c r="B293" s="3">
        <v>46157</v>
      </c>
      <c r="C293" s="2" t="s">
        <v>8</v>
      </c>
      <c r="D293" s="2" t="s">
        <v>12</v>
      </c>
      <c r="E293" s="2" t="s">
        <v>20</v>
      </c>
      <c r="F293" s="2" t="s">
        <v>31</v>
      </c>
      <c r="G293" s="4">
        <v>467.63</v>
      </c>
      <c r="H293" s="4">
        <v>500</v>
      </c>
    </row>
    <row r="294" spans="1:8" x14ac:dyDescent="0.2">
      <c r="A294" s="2">
        <v>100293</v>
      </c>
      <c r="B294" s="3">
        <v>46164</v>
      </c>
      <c r="C294" s="2" t="s">
        <v>23</v>
      </c>
      <c r="D294" s="2" t="s">
        <v>16</v>
      </c>
      <c r="E294" s="2" t="s">
        <v>24</v>
      </c>
      <c r="F294" s="2" t="s">
        <v>27</v>
      </c>
      <c r="G294" s="4">
        <v>9329.57</v>
      </c>
      <c r="H294" s="4">
        <v>11666.67</v>
      </c>
    </row>
    <row r="295" spans="1:8" x14ac:dyDescent="0.2">
      <c r="A295" s="2">
        <v>100294</v>
      </c>
      <c r="B295" s="3">
        <v>46163</v>
      </c>
      <c r="C295" s="2" t="s">
        <v>23</v>
      </c>
      <c r="D295" s="2" t="s">
        <v>12</v>
      </c>
      <c r="E295" s="2" t="s">
        <v>24</v>
      </c>
      <c r="F295" s="2" t="s">
        <v>27</v>
      </c>
      <c r="G295" s="4">
        <v>14009.89</v>
      </c>
      <c r="H295" s="4">
        <v>11666.67</v>
      </c>
    </row>
    <row r="296" spans="1:8" x14ac:dyDescent="0.2">
      <c r="A296" s="2">
        <v>100295</v>
      </c>
      <c r="B296" s="3">
        <v>46149</v>
      </c>
      <c r="C296" s="2" t="s">
        <v>23</v>
      </c>
      <c r="D296" s="2" t="s">
        <v>9</v>
      </c>
      <c r="E296" s="2" t="s">
        <v>24</v>
      </c>
      <c r="F296" s="2" t="s">
        <v>25</v>
      </c>
      <c r="G296" s="4">
        <v>11072.48</v>
      </c>
      <c r="H296" s="4">
        <v>11666.67</v>
      </c>
    </row>
    <row r="297" spans="1:8" x14ac:dyDescent="0.2">
      <c r="A297" s="2">
        <v>100296</v>
      </c>
      <c r="B297" s="3">
        <v>46163</v>
      </c>
      <c r="C297" s="2" t="s">
        <v>23</v>
      </c>
      <c r="D297" s="2" t="s">
        <v>9</v>
      </c>
      <c r="E297" s="2" t="s">
        <v>20</v>
      </c>
      <c r="F297" s="2" t="s">
        <v>29</v>
      </c>
      <c r="G297" s="4">
        <v>648.83000000000004</v>
      </c>
      <c r="H297" s="4">
        <v>600</v>
      </c>
    </row>
    <row r="298" spans="1:8" x14ac:dyDescent="0.2">
      <c r="A298" s="2">
        <v>100297</v>
      </c>
      <c r="B298" s="3">
        <v>46144</v>
      </c>
      <c r="C298" s="2" t="s">
        <v>23</v>
      </c>
      <c r="D298" s="2" t="s">
        <v>12</v>
      </c>
      <c r="E298" s="2" t="s">
        <v>20</v>
      </c>
      <c r="F298" s="2" t="s">
        <v>21</v>
      </c>
      <c r="G298" s="4">
        <v>741.33</v>
      </c>
      <c r="H298" s="4">
        <v>600</v>
      </c>
    </row>
    <row r="299" spans="1:8" x14ac:dyDescent="0.2">
      <c r="A299" s="2">
        <v>100298</v>
      </c>
      <c r="B299" s="3">
        <v>46147</v>
      </c>
      <c r="C299" s="2" t="s">
        <v>23</v>
      </c>
      <c r="D299" s="2" t="s">
        <v>16</v>
      </c>
      <c r="E299" s="2" t="s">
        <v>20</v>
      </c>
      <c r="F299" s="2" t="s">
        <v>21</v>
      </c>
      <c r="G299" s="4">
        <v>523.07000000000005</v>
      </c>
      <c r="H299" s="4">
        <v>600</v>
      </c>
    </row>
    <row r="300" spans="1:8" x14ac:dyDescent="0.2">
      <c r="A300" s="2">
        <v>100299</v>
      </c>
      <c r="B300" s="3">
        <v>46169</v>
      </c>
      <c r="C300" s="2" t="s">
        <v>23</v>
      </c>
      <c r="D300" s="2" t="s">
        <v>12</v>
      </c>
      <c r="E300" s="2" t="s">
        <v>20</v>
      </c>
      <c r="F300" s="2" t="s">
        <v>21</v>
      </c>
      <c r="G300" s="4">
        <v>511.56</v>
      </c>
      <c r="H300" s="4">
        <v>600</v>
      </c>
    </row>
    <row r="301" spans="1:8" x14ac:dyDescent="0.2">
      <c r="A301" s="2">
        <v>100300</v>
      </c>
      <c r="B301" s="3">
        <v>46149</v>
      </c>
      <c r="C301" s="2" t="s">
        <v>23</v>
      </c>
      <c r="D301" s="2" t="s">
        <v>12</v>
      </c>
      <c r="E301" s="2" t="s">
        <v>20</v>
      </c>
      <c r="F301" s="2" t="s">
        <v>21</v>
      </c>
      <c r="G301" s="4">
        <v>512.15</v>
      </c>
      <c r="H301" s="4">
        <v>600</v>
      </c>
    </row>
    <row r="302" spans="1:8" x14ac:dyDescent="0.2">
      <c r="A302" s="2">
        <v>100301</v>
      </c>
      <c r="B302" s="3">
        <v>46168</v>
      </c>
      <c r="C302" s="2" t="s">
        <v>23</v>
      </c>
      <c r="D302" s="2" t="s">
        <v>16</v>
      </c>
      <c r="E302" s="2" t="s">
        <v>17</v>
      </c>
      <c r="F302" s="2" t="s">
        <v>32</v>
      </c>
      <c r="G302" s="4">
        <v>947.65</v>
      </c>
      <c r="H302" s="4">
        <v>833.33</v>
      </c>
    </row>
    <row r="303" spans="1:8" x14ac:dyDescent="0.2">
      <c r="A303" s="2">
        <v>100302</v>
      </c>
      <c r="B303" s="3">
        <v>46147</v>
      </c>
      <c r="C303" s="2" t="s">
        <v>23</v>
      </c>
      <c r="D303" s="2" t="s">
        <v>9</v>
      </c>
      <c r="E303" s="2" t="s">
        <v>17</v>
      </c>
      <c r="F303" s="2" t="s">
        <v>58</v>
      </c>
      <c r="G303" s="4">
        <v>740.53</v>
      </c>
      <c r="H303" s="4">
        <v>833.33</v>
      </c>
    </row>
    <row r="304" spans="1:8" x14ac:dyDescent="0.2">
      <c r="A304" s="2">
        <v>100303</v>
      </c>
      <c r="B304" s="3">
        <v>46148</v>
      </c>
      <c r="C304" s="2" t="s">
        <v>23</v>
      </c>
      <c r="D304" s="2" t="s">
        <v>12</v>
      </c>
      <c r="E304" s="2" t="s">
        <v>17</v>
      </c>
      <c r="F304" s="2" t="s">
        <v>18</v>
      </c>
      <c r="G304" s="4">
        <v>729.44</v>
      </c>
      <c r="H304" s="4">
        <v>833.33</v>
      </c>
    </row>
    <row r="305" spans="1:8" x14ac:dyDescent="0.2">
      <c r="A305" s="2">
        <v>100304</v>
      </c>
      <c r="B305" s="3">
        <v>46168</v>
      </c>
      <c r="C305" s="2" t="s">
        <v>23</v>
      </c>
      <c r="D305" s="2" t="s">
        <v>9</v>
      </c>
      <c r="E305" s="2" t="s">
        <v>34</v>
      </c>
      <c r="F305" s="2" t="s">
        <v>35</v>
      </c>
      <c r="G305" s="4">
        <v>2272.29</v>
      </c>
      <c r="H305" s="4">
        <v>3000</v>
      </c>
    </row>
    <row r="306" spans="1:8" x14ac:dyDescent="0.2">
      <c r="A306" s="2">
        <v>100305</v>
      </c>
      <c r="B306" s="3">
        <v>46148</v>
      </c>
      <c r="C306" s="2" t="s">
        <v>23</v>
      </c>
      <c r="D306" s="2" t="s">
        <v>12</v>
      </c>
      <c r="E306" s="2" t="s">
        <v>34</v>
      </c>
      <c r="F306" s="2" t="s">
        <v>36</v>
      </c>
      <c r="G306" s="4">
        <v>2735.66</v>
      </c>
      <c r="H306" s="4">
        <v>3000</v>
      </c>
    </row>
    <row r="307" spans="1:8" x14ac:dyDescent="0.2">
      <c r="A307" s="2">
        <v>100306</v>
      </c>
      <c r="B307" s="3">
        <v>46159</v>
      </c>
      <c r="C307" s="2" t="s">
        <v>40</v>
      </c>
      <c r="D307" s="2" t="s">
        <v>9</v>
      </c>
      <c r="E307" s="2" t="s">
        <v>41</v>
      </c>
      <c r="F307" s="2" t="s">
        <v>42</v>
      </c>
      <c r="G307" s="4">
        <v>53240.800000000003</v>
      </c>
      <c r="H307" s="4">
        <v>47500</v>
      </c>
    </row>
    <row r="308" spans="1:8" x14ac:dyDescent="0.2">
      <c r="A308" s="2">
        <v>100307</v>
      </c>
      <c r="B308" s="3">
        <v>46157</v>
      </c>
      <c r="C308" s="2" t="s">
        <v>40</v>
      </c>
      <c r="D308" s="2" t="s">
        <v>12</v>
      </c>
      <c r="E308" s="2" t="s">
        <v>41</v>
      </c>
      <c r="F308" s="2" t="s">
        <v>42</v>
      </c>
      <c r="G308" s="4">
        <v>37134.5</v>
      </c>
      <c r="H308" s="4">
        <v>47500</v>
      </c>
    </row>
    <row r="309" spans="1:8" x14ac:dyDescent="0.2">
      <c r="A309" s="2">
        <v>100308</v>
      </c>
      <c r="B309" s="3">
        <v>46162</v>
      </c>
      <c r="C309" s="2" t="s">
        <v>40</v>
      </c>
      <c r="D309" s="2" t="s">
        <v>16</v>
      </c>
      <c r="E309" s="2" t="s">
        <v>20</v>
      </c>
      <c r="F309" s="2" t="s">
        <v>22</v>
      </c>
      <c r="G309" s="4">
        <v>2254.3200000000002</v>
      </c>
      <c r="H309" s="4">
        <v>2250</v>
      </c>
    </row>
    <row r="310" spans="1:8" x14ac:dyDescent="0.2">
      <c r="A310" s="2">
        <v>100309</v>
      </c>
      <c r="B310" s="3">
        <v>46170</v>
      </c>
      <c r="C310" s="2" t="s">
        <v>40</v>
      </c>
      <c r="D310" s="2" t="s">
        <v>12</v>
      </c>
      <c r="E310" s="2" t="s">
        <v>20</v>
      </c>
      <c r="F310" s="2" t="s">
        <v>29</v>
      </c>
      <c r="G310" s="4">
        <v>2568.63</v>
      </c>
      <c r="H310" s="4">
        <v>2250</v>
      </c>
    </row>
    <row r="311" spans="1:8" x14ac:dyDescent="0.2">
      <c r="A311" s="2">
        <v>100310</v>
      </c>
      <c r="B311" s="3">
        <v>46143</v>
      </c>
      <c r="C311" s="2" t="s">
        <v>40</v>
      </c>
      <c r="D311" s="2" t="s">
        <v>16</v>
      </c>
      <c r="E311" s="2" t="s">
        <v>43</v>
      </c>
      <c r="F311" s="2" t="s">
        <v>45</v>
      </c>
      <c r="G311" s="4">
        <v>3215.01</v>
      </c>
      <c r="H311" s="4">
        <v>3000</v>
      </c>
    </row>
    <row r="312" spans="1:8" x14ac:dyDescent="0.2">
      <c r="A312" s="2">
        <v>100311</v>
      </c>
      <c r="B312" s="3">
        <v>46156</v>
      </c>
      <c r="C312" s="2" t="s">
        <v>40</v>
      </c>
      <c r="D312" s="2" t="s">
        <v>16</v>
      </c>
      <c r="E312" s="2" t="s">
        <v>43</v>
      </c>
      <c r="F312" s="2" t="s">
        <v>44</v>
      </c>
      <c r="G312" s="4">
        <v>3520.95</v>
      </c>
      <c r="H312" s="4">
        <v>3000</v>
      </c>
    </row>
    <row r="313" spans="1:8" x14ac:dyDescent="0.2">
      <c r="A313" s="2">
        <v>100312</v>
      </c>
      <c r="B313" s="3">
        <v>46157</v>
      </c>
      <c r="C313" s="2" t="s">
        <v>40</v>
      </c>
      <c r="D313" s="2" t="s">
        <v>9</v>
      </c>
      <c r="E313" s="2" t="s">
        <v>43</v>
      </c>
      <c r="F313" s="2" t="s">
        <v>45</v>
      </c>
      <c r="G313" s="4">
        <v>2985.4</v>
      </c>
      <c r="H313" s="4">
        <v>3000</v>
      </c>
    </row>
    <row r="314" spans="1:8" x14ac:dyDescent="0.2">
      <c r="A314" s="2">
        <v>100313</v>
      </c>
      <c r="B314" s="3">
        <v>46147</v>
      </c>
      <c r="C314" s="2" t="s">
        <v>40</v>
      </c>
      <c r="D314" s="2" t="s">
        <v>9</v>
      </c>
      <c r="E314" s="2" t="s">
        <v>43</v>
      </c>
      <c r="F314" s="2" t="s">
        <v>45</v>
      </c>
      <c r="G314" s="4">
        <v>2733.17</v>
      </c>
      <c r="H314" s="4">
        <v>3000</v>
      </c>
    </row>
    <row r="315" spans="1:8" x14ac:dyDescent="0.2">
      <c r="A315" s="2">
        <v>100314</v>
      </c>
      <c r="B315" s="3">
        <v>46161</v>
      </c>
      <c r="C315" s="2" t="s">
        <v>40</v>
      </c>
      <c r="D315" s="2" t="s">
        <v>16</v>
      </c>
      <c r="E315" s="2" t="s">
        <v>34</v>
      </c>
      <c r="F315" s="2" t="s">
        <v>38</v>
      </c>
      <c r="G315" s="4">
        <v>1770.26</v>
      </c>
      <c r="H315" s="4">
        <v>1666.67</v>
      </c>
    </row>
    <row r="316" spans="1:8" x14ac:dyDescent="0.2">
      <c r="A316" s="2">
        <v>100315</v>
      </c>
      <c r="B316" s="3">
        <v>46162</v>
      </c>
      <c r="C316" s="2" t="s">
        <v>40</v>
      </c>
      <c r="D316" s="2" t="s">
        <v>12</v>
      </c>
      <c r="E316" s="2" t="s">
        <v>34</v>
      </c>
      <c r="F316" s="2" t="s">
        <v>38</v>
      </c>
      <c r="G316" s="4">
        <v>1520.99</v>
      </c>
      <c r="H316" s="4">
        <v>1666.67</v>
      </c>
    </row>
    <row r="317" spans="1:8" x14ac:dyDescent="0.2">
      <c r="A317" s="2">
        <v>100316</v>
      </c>
      <c r="B317" s="3">
        <v>46162</v>
      </c>
      <c r="C317" s="2" t="s">
        <v>40</v>
      </c>
      <c r="D317" s="2" t="s">
        <v>16</v>
      </c>
      <c r="E317" s="2" t="s">
        <v>34</v>
      </c>
      <c r="F317" s="2" t="s">
        <v>37</v>
      </c>
      <c r="G317" s="4">
        <v>1628.1</v>
      </c>
      <c r="H317" s="4">
        <v>1666.67</v>
      </c>
    </row>
    <row r="318" spans="1:8" x14ac:dyDescent="0.2">
      <c r="A318" s="2">
        <v>100317</v>
      </c>
      <c r="B318" s="3">
        <v>46163</v>
      </c>
      <c r="C318" s="2" t="s">
        <v>46</v>
      </c>
      <c r="D318" s="2" t="s">
        <v>12</v>
      </c>
      <c r="E318" s="2" t="s">
        <v>41</v>
      </c>
      <c r="F318" s="2" t="s">
        <v>42</v>
      </c>
      <c r="G318" s="4">
        <v>16951.349999999999</v>
      </c>
      <c r="H318" s="4">
        <v>21000</v>
      </c>
    </row>
    <row r="319" spans="1:8" x14ac:dyDescent="0.2">
      <c r="A319" s="2">
        <v>100318</v>
      </c>
      <c r="B319" s="3">
        <v>46150</v>
      </c>
      <c r="C319" s="2" t="s">
        <v>46</v>
      </c>
      <c r="D319" s="2" t="s">
        <v>16</v>
      </c>
      <c r="E319" s="2" t="s">
        <v>41</v>
      </c>
      <c r="F319" s="2" t="s">
        <v>42</v>
      </c>
      <c r="G319" s="4">
        <v>20491.330000000002</v>
      </c>
      <c r="H319" s="4">
        <v>21000</v>
      </c>
    </row>
    <row r="320" spans="1:8" x14ac:dyDescent="0.2">
      <c r="A320" s="2">
        <v>100319</v>
      </c>
      <c r="B320" s="3">
        <v>46166</v>
      </c>
      <c r="C320" s="2" t="s">
        <v>46</v>
      </c>
      <c r="D320" s="2" t="s">
        <v>16</v>
      </c>
      <c r="E320" s="2" t="s">
        <v>47</v>
      </c>
      <c r="F320" s="2" t="s">
        <v>60</v>
      </c>
      <c r="G320" s="4">
        <v>3560.12</v>
      </c>
      <c r="H320" s="4">
        <v>3750</v>
      </c>
    </row>
    <row r="321" spans="1:8" x14ac:dyDescent="0.2">
      <c r="A321" s="2">
        <v>100320</v>
      </c>
      <c r="B321" s="3">
        <v>46164</v>
      </c>
      <c r="C321" s="2" t="s">
        <v>46</v>
      </c>
      <c r="D321" s="2" t="s">
        <v>16</v>
      </c>
      <c r="E321" s="2" t="s">
        <v>47</v>
      </c>
      <c r="F321" s="2" t="s">
        <v>50</v>
      </c>
      <c r="G321" s="4">
        <v>3612.68</v>
      </c>
      <c r="H321" s="4">
        <v>3750</v>
      </c>
    </row>
    <row r="322" spans="1:8" x14ac:dyDescent="0.2">
      <c r="A322" s="2">
        <v>100321</v>
      </c>
      <c r="B322" s="3">
        <v>46164</v>
      </c>
      <c r="C322" s="2" t="s">
        <v>46</v>
      </c>
      <c r="D322" s="2" t="s">
        <v>16</v>
      </c>
      <c r="E322" s="2" t="s">
        <v>47</v>
      </c>
      <c r="F322" s="2" t="s">
        <v>48</v>
      </c>
      <c r="G322" s="4">
        <v>4600.49</v>
      </c>
      <c r="H322" s="4">
        <v>3750</v>
      </c>
    </row>
    <row r="323" spans="1:8" x14ac:dyDescent="0.2">
      <c r="A323" s="2">
        <v>100322</v>
      </c>
      <c r="B323" s="3">
        <v>46145</v>
      </c>
      <c r="C323" s="2" t="s">
        <v>46</v>
      </c>
      <c r="D323" s="2" t="s">
        <v>9</v>
      </c>
      <c r="E323" s="2" t="s">
        <v>47</v>
      </c>
      <c r="F323" s="2" t="s">
        <v>60</v>
      </c>
      <c r="G323" s="4">
        <v>2983.55</v>
      </c>
      <c r="H323" s="4">
        <v>3750</v>
      </c>
    </row>
    <row r="324" spans="1:8" x14ac:dyDescent="0.2">
      <c r="A324" s="2">
        <v>100323</v>
      </c>
      <c r="B324" s="3">
        <v>46154</v>
      </c>
      <c r="C324" s="2" t="s">
        <v>46</v>
      </c>
      <c r="D324" s="2" t="s">
        <v>9</v>
      </c>
      <c r="E324" s="2" t="s">
        <v>20</v>
      </c>
      <c r="F324" s="2" t="s">
        <v>21</v>
      </c>
      <c r="G324" s="4">
        <v>448.92</v>
      </c>
      <c r="H324" s="4">
        <v>400</v>
      </c>
    </row>
    <row r="325" spans="1:8" x14ac:dyDescent="0.2">
      <c r="A325" s="2">
        <v>100324</v>
      </c>
      <c r="B325" s="3">
        <v>46161</v>
      </c>
      <c r="C325" s="2" t="s">
        <v>46</v>
      </c>
      <c r="D325" s="2" t="s">
        <v>9</v>
      </c>
      <c r="E325" s="2" t="s">
        <v>20</v>
      </c>
      <c r="F325" s="2" t="s">
        <v>30</v>
      </c>
      <c r="G325" s="4">
        <v>411.27</v>
      </c>
      <c r="H325" s="4">
        <v>400</v>
      </c>
    </row>
    <row r="326" spans="1:8" x14ac:dyDescent="0.2">
      <c r="A326" s="2">
        <v>100325</v>
      </c>
      <c r="B326" s="3">
        <v>46146</v>
      </c>
      <c r="C326" s="2" t="s">
        <v>46</v>
      </c>
      <c r="D326" s="2" t="s">
        <v>12</v>
      </c>
      <c r="E326" s="2" t="s">
        <v>20</v>
      </c>
      <c r="F326" s="2" t="s">
        <v>31</v>
      </c>
      <c r="G326" s="4">
        <v>365.93</v>
      </c>
      <c r="H326" s="4">
        <v>400</v>
      </c>
    </row>
    <row r="327" spans="1:8" x14ac:dyDescent="0.2">
      <c r="A327" s="2">
        <v>100326</v>
      </c>
      <c r="B327" s="3">
        <v>46167</v>
      </c>
      <c r="C327" s="2" t="s">
        <v>46</v>
      </c>
      <c r="D327" s="2" t="s">
        <v>16</v>
      </c>
      <c r="E327" s="2" t="s">
        <v>20</v>
      </c>
      <c r="F327" s="2" t="s">
        <v>31</v>
      </c>
      <c r="G327" s="4">
        <v>474.72</v>
      </c>
      <c r="H327" s="4">
        <v>400</v>
      </c>
    </row>
    <row r="328" spans="1:8" x14ac:dyDescent="0.2">
      <c r="A328" s="2">
        <v>100327</v>
      </c>
      <c r="B328" s="3">
        <v>46152</v>
      </c>
      <c r="C328" s="2" t="s">
        <v>46</v>
      </c>
      <c r="D328" s="2" t="s">
        <v>12</v>
      </c>
      <c r="E328" s="2" t="s">
        <v>20</v>
      </c>
      <c r="F328" s="2" t="s">
        <v>30</v>
      </c>
      <c r="G328" s="4">
        <v>310.29000000000002</v>
      </c>
      <c r="H328" s="4">
        <v>400</v>
      </c>
    </row>
    <row r="329" spans="1:8" x14ac:dyDescent="0.2">
      <c r="A329" s="2">
        <v>100328</v>
      </c>
      <c r="B329" s="3">
        <v>46159</v>
      </c>
      <c r="C329" s="2" t="s">
        <v>46</v>
      </c>
      <c r="D329" s="2" t="s">
        <v>16</v>
      </c>
      <c r="E329" s="2" t="s">
        <v>34</v>
      </c>
      <c r="F329" s="2" t="s">
        <v>35</v>
      </c>
      <c r="G329" s="4">
        <v>701.58</v>
      </c>
      <c r="H329" s="4">
        <v>875</v>
      </c>
    </row>
    <row r="330" spans="1:8" x14ac:dyDescent="0.2">
      <c r="A330" s="2">
        <v>100329</v>
      </c>
      <c r="B330" s="3">
        <v>46150</v>
      </c>
      <c r="C330" s="2" t="s">
        <v>46</v>
      </c>
      <c r="D330" s="2" t="s">
        <v>9</v>
      </c>
      <c r="E330" s="2" t="s">
        <v>34</v>
      </c>
      <c r="F330" s="2" t="s">
        <v>39</v>
      </c>
      <c r="G330" s="4">
        <v>943.57</v>
      </c>
      <c r="H330" s="4">
        <v>875</v>
      </c>
    </row>
    <row r="331" spans="1:8" x14ac:dyDescent="0.2">
      <c r="A331" s="2">
        <v>100330</v>
      </c>
      <c r="B331" s="3">
        <v>46154</v>
      </c>
      <c r="C331" s="2" t="s">
        <v>46</v>
      </c>
      <c r="D331" s="2" t="s">
        <v>16</v>
      </c>
      <c r="E331" s="2" t="s">
        <v>34</v>
      </c>
      <c r="F331" s="2" t="s">
        <v>39</v>
      </c>
      <c r="G331" s="4">
        <v>1026.0999999999999</v>
      </c>
      <c r="H331" s="4">
        <v>875</v>
      </c>
    </row>
    <row r="332" spans="1:8" x14ac:dyDescent="0.2">
      <c r="A332" s="2">
        <v>100331</v>
      </c>
      <c r="B332" s="3">
        <v>46168</v>
      </c>
      <c r="C332" s="2" t="s">
        <v>46</v>
      </c>
      <c r="D332" s="2" t="s">
        <v>16</v>
      </c>
      <c r="E332" s="2" t="s">
        <v>34</v>
      </c>
      <c r="F332" s="2" t="s">
        <v>37</v>
      </c>
      <c r="G332" s="4">
        <v>907.42</v>
      </c>
      <c r="H332" s="4">
        <v>875</v>
      </c>
    </row>
    <row r="333" spans="1:8" x14ac:dyDescent="0.2">
      <c r="A333" s="2">
        <v>100332</v>
      </c>
      <c r="B333" s="3">
        <v>46151</v>
      </c>
      <c r="C333" s="2" t="s">
        <v>52</v>
      </c>
      <c r="D333" s="2" t="s">
        <v>12</v>
      </c>
      <c r="E333" s="2" t="s">
        <v>41</v>
      </c>
      <c r="F333" s="2" t="s">
        <v>42</v>
      </c>
      <c r="G333" s="4">
        <v>14525.06</v>
      </c>
      <c r="H333" s="4">
        <v>19000</v>
      </c>
    </row>
    <row r="334" spans="1:8" x14ac:dyDescent="0.2">
      <c r="A334" s="2">
        <v>100333</v>
      </c>
      <c r="B334" s="3">
        <v>46148</v>
      </c>
      <c r="C334" s="2" t="s">
        <v>52</v>
      </c>
      <c r="D334" s="2" t="s">
        <v>12</v>
      </c>
      <c r="E334" s="2" t="s">
        <v>41</v>
      </c>
      <c r="F334" s="2" t="s">
        <v>42</v>
      </c>
      <c r="G334" s="4">
        <v>17584.72</v>
      </c>
      <c r="H334" s="4">
        <v>19000</v>
      </c>
    </row>
    <row r="335" spans="1:8" x14ac:dyDescent="0.2">
      <c r="A335" s="2">
        <v>100334</v>
      </c>
      <c r="B335" s="3">
        <v>46163</v>
      </c>
      <c r="C335" s="2" t="s">
        <v>52</v>
      </c>
      <c r="D335" s="2" t="s">
        <v>9</v>
      </c>
      <c r="E335" s="2" t="s">
        <v>47</v>
      </c>
      <c r="F335" s="2" t="s">
        <v>60</v>
      </c>
      <c r="G335" s="4">
        <v>1313.5</v>
      </c>
      <c r="H335" s="4">
        <v>1600</v>
      </c>
    </row>
    <row r="336" spans="1:8" x14ac:dyDescent="0.2">
      <c r="A336" s="2">
        <v>100335</v>
      </c>
      <c r="B336" s="3">
        <v>46149</v>
      </c>
      <c r="C336" s="2" t="s">
        <v>52</v>
      </c>
      <c r="D336" s="2" t="s">
        <v>9</v>
      </c>
      <c r="E336" s="2" t="s">
        <v>47</v>
      </c>
      <c r="F336" s="2" t="s">
        <v>48</v>
      </c>
      <c r="G336" s="4">
        <v>1796.89</v>
      </c>
      <c r="H336" s="4">
        <v>1600</v>
      </c>
    </row>
    <row r="337" spans="1:8" x14ac:dyDescent="0.2">
      <c r="A337" s="2">
        <v>100336</v>
      </c>
      <c r="B337" s="3">
        <v>46148</v>
      </c>
      <c r="C337" s="2" t="s">
        <v>52</v>
      </c>
      <c r="D337" s="2" t="s">
        <v>12</v>
      </c>
      <c r="E337" s="2" t="s">
        <v>47</v>
      </c>
      <c r="F337" s="2" t="s">
        <v>50</v>
      </c>
      <c r="G337" s="4">
        <v>1562.92</v>
      </c>
      <c r="H337" s="4">
        <v>1600</v>
      </c>
    </row>
    <row r="338" spans="1:8" x14ac:dyDescent="0.2">
      <c r="A338" s="2">
        <v>100337</v>
      </c>
      <c r="B338" s="3">
        <v>46167</v>
      </c>
      <c r="C338" s="2" t="s">
        <v>52</v>
      </c>
      <c r="D338" s="2" t="s">
        <v>12</v>
      </c>
      <c r="E338" s="2" t="s">
        <v>47</v>
      </c>
      <c r="F338" s="2" t="s">
        <v>60</v>
      </c>
      <c r="G338" s="4">
        <v>1777.28</v>
      </c>
      <c r="H338" s="4">
        <v>1600</v>
      </c>
    </row>
    <row r="339" spans="1:8" x14ac:dyDescent="0.2">
      <c r="A339" s="2">
        <v>100338</v>
      </c>
      <c r="B339" s="3">
        <v>46167</v>
      </c>
      <c r="C339" s="2" t="s">
        <v>52</v>
      </c>
      <c r="D339" s="2" t="s">
        <v>9</v>
      </c>
      <c r="E339" s="2" t="s">
        <v>47</v>
      </c>
      <c r="F339" s="2" t="s">
        <v>60</v>
      </c>
      <c r="G339" s="4">
        <v>1324.46</v>
      </c>
      <c r="H339" s="4">
        <v>1600</v>
      </c>
    </row>
    <row r="340" spans="1:8" x14ac:dyDescent="0.2">
      <c r="A340" s="2">
        <v>100339</v>
      </c>
      <c r="B340" s="3">
        <v>46156</v>
      </c>
      <c r="C340" s="2" t="s">
        <v>52</v>
      </c>
      <c r="D340" s="2" t="s">
        <v>12</v>
      </c>
      <c r="E340" s="2" t="s">
        <v>34</v>
      </c>
      <c r="F340" s="2" t="s">
        <v>37</v>
      </c>
      <c r="G340" s="4">
        <v>3400.45</v>
      </c>
      <c r="H340" s="4">
        <v>3500</v>
      </c>
    </row>
    <row r="341" spans="1:8" x14ac:dyDescent="0.2">
      <c r="A341" s="2">
        <v>100340</v>
      </c>
      <c r="B341" s="3">
        <v>46149</v>
      </c>
      <c r="C341" s="2" t="s">
        <v>52</v>
      </c>
      <c r="D341" s="2" t="s">
        <v>12</v>
      </c>
      <c r="E341" s="2" t="s">
        <v>34</v>
      </c>
      <c r="F341" s="2" t="s">
        <v>38</v>
      </c>
      <c r="G341" s="4">
        <v>3349.82</v>
      </c>
      <c r="H341" s="4">
        <v>3500</v>
      </c>
    </row>
    <row r="342" spans="1:8" x14ac:dyDescent="0.2">
      <c r="A342" s="2">
        <v>100341</v>
      </c>
      <c r="B342" s="3">
        <v>46152</v>
      </c>
      <c r="C342" s="2" t="s">
        <v>52</v>
      </c>
      <c r="D342" s="2" t="s">
        <v>12</v>
      </c>
      <c r="E342" s="2" t="s">
        <v>20</v>
      </c>
      <c r="F342" s="2" t="s">
        <v>29</v>
      </c>
      <c r="G342" s="4">
        <v>868.46</v>
      </c>
      <c r="H342" s="4">
        <v>900</v>
      </c>
    </row>
    <row r="343" spans="1:8" x14ac:dyDescent="0.2">
      <c r="A343" s="2">
        <v>100342</v>
      </c>
      <c r="B343" s="3">
        <v>46152</v>
      </c>
      <c r="C343" s="2" t="s">
        <v>52</v>
      </c>
      <c r="D343" s="2" t="s">
        <v>12</v>
      </c>
      <c r="E343" s="2" t="s">
        <v>20</v>
      </c>
      <c r="F343" s="2" t="s">
        <v>22</v>
      </c>
      <c r="G343" s="4">
        <v>912.12</v>
      </c>
      <c r="H343" s="4">
        <v>900</v>
      </c>
    </row>
    <row r="344" spans="1:8" x14ac:dyDescent="0.2">
      <c r="A344" s="2">
        <v>100343</v>
      </c>
      <c r="B344" s="3">
        <v>46180</v>
      </c>
      <c r="C344" s="2" t="s">
        <v>8</v>
      </c>
      <c r="D344" s="2" t="s">
        <v>16</v>
      </c>
      <c r="E344" s="2" t="s">
        <v>10</v>
      </c>
      <c r="F344" s="2" t="s">
        <v>63</v>
      </c>
      <c r="G344" s="4">
        <v>57907.8</v>
      </c>
      <c r="H344" s="4">
        <v>60000</v>
      </c>
    </row>
    <row r="345" spans="1:8" x14ac:dyDescent="0.2">
      <c r="A345" s="2">
        <v>100344</v>
      </c>
      <c r="B345" s="3">
        <v>46183</v>
      </c>
      <c r="C345" s="2" t="s">
        <v>8</v>
      </c>
      <c r="D345" s="2" t="s">
        <v>9</v>
      </c>
      <c r="E345" s="2" t="s">
        <v>10</v>
      </c>
      <c r="F345" s="2" t="s">
        <v>64</v>
      </c>
      <c r="G345" s="4">
        <v>81317.31</v>
      </c>
      <c r="H345" s="4">
        <v>60000</v>
      </c>
    </row>
    <row r="346" spans="1:8" x14ac:dyDescent="0.2">
      <c r="A346" s="2">
        <v>100345</v>
      </c>
      <c r="B346" s="3">
        <v>46179</v>
      </c>
      <c r="C346" s="2" t="s">
        <v>8</v>
      </c>
      <c r="D346" s="2" t="s">
        <v>9</v>
      </c>
      <c r="E346" s="2" t="s">
        <v>10</v>
      </c>
      <c r="F346" s="2" t="s">
        <v>55</v>
      </c>
      <c r="G346" s="4">
        <v>80751.47</v>
      </c>
      <c r="H346" s="4">
        <v>60000</v>
      </c>
    </row>
    <row r="347" spans="1:8" x14ac:dyDescent="0.2">
      <c r="A347" s="2">
        <v>100346</v>
      </c>
      <c r="B347" s="3">
        <v>46190</v>
      </c>
      <c r="C347" s="2" t="s">
        <v>8</v>
      </c>
      <c r="D347" s="2" t="s">
        <v>12</v>
      </c>
      <c r="E347" s="2" t="s">
        <v>14</v>
      </c>
      <c r="F347" s="2" t="s">
        <v>15</v>
      </c>
      <c r="G347" s="4">
        <v>3966.61</v>
      </c>
      <c r="H347" s="4">
        <v>3600</v>
      </c>
    </row>
    <row r="348" spans="1:8" x14ac:dyDescent="0.2">
      <c r="A348" s="2">
        <v>100347</v>
      </c>
      <c r="B348" s="3">
        <v>46197</v>
      </c>
      <c r="C348" s="2" t="s">
        <v>8</v>
      </c>
      <c r="D348" s="2" t="s">
        <v>9</v>
      </c>
      <c r="E348" s="2" t="s">
        <v>14</v>
      </c>
      <c r="F348" s="2" t="s">
        <v>15</v>
      </c>
      <c r="G348" s="4">
        <v>3414.73</v>
      </c>
      <c r="H348" s="4">
        <v>3600</v>
      </c>
    </row>
    <row r="349" spans="1:8" x14ac:dyDescent="0.2">
      <c r="A349" s="2">
        <v>100348</v>
      </c>
      <c r="B349" s="3">
        <v>46176</v>
      </c>
      <c r="C349" s="2" t="s">
        <v>8</v>
      </c>
      <c r="D349" s="2" t="s">
        <v>16</v>
      </c>
      <c r="E349" s="2" t="s">
        <v>14</v>
      </c>
      <c r="F349" s="2" t="s">
        <v>15</v>
      </c>
      <c r="G349" s="4">
        <v>2733.73</v>
      </c>
      <c r="H349" s="4">
        <v>3600</v>
      </c>
    </row>
    <row r="350" spans="1:8" x14ac:dyDescent="0.2">
      <c r="A350" s="2">
        <v>100349</v>
      </c>
      <c r="B350" s="3">
        <v>46186</v>
      </c>
      <c r="C350" s="2" t="s">
        <v>8</v>
      </c>
      <c r="D350" s="2" t="s">
        <v>12</v>
      </c>
      <c r="E350" s="2" t="s">
        <v>14</v>
      </c>
      <c r="F350" s="2" t="s">
        <v>15</v>
      </c>
      <c r="G350" s="4">
        <v>3472.71</v>
      </c>
      <c r="H350" s="4">
        <v>3600</v>
      </c>
    </row>
    <row r="351" spans="1:8" x14ac:dyDescent="0.2">
      <c r="A351" s="2">
        <v>100350</v>
      </c>
      <c r="B351" s="3">
        <v>46174</v>
      </c>
      <c r="C351" s="2" t="s">
        <v>8</v>
      </c>
      <c r="D351" s="2" t="s">
        <v>16</v>
      </c>
      <c r="E351" s="2" t="s">
        <v>14</v>
      </c>
      <c r="F351" s="2" t="s">
        <v>15</v>
      </c>
      <c r="G351" s="4">
        <v>2907.31</v>
      </c>
      <c r="H351" s="4">
        <v>3600</v>
      </c>
    </row>
    <row r="352" spans="1:8" x14ac:dyDescent="0.2">
      <c r="A352" s="2">
        <v>100351</v>
      </c>
      <c r="B352" s="3">
        <v>46196</v>
      </c>
      <c r="C352" s="2" t="s">
        <v>8</v>
      </c>
      <c r="D352" s="2" t="s">
        <v>12</v>
      </c>
      <c r="E352" s="2" t="s">
        <v>17</v>
      </c>
      <c r="F352" s="2" t="s">
        <v>19</v>
      </c>
      <c r="G352" s="4">
        <v>1306.73</v>
      </c>
      <c r="H352" s="4">
        <v>1333.33</v>
      </c>
    </row>
    <row r="353" spans="1:8" x14ac:dyDescent="0.2">
      <c r="A353" s="2">
        <v>100352</v>
      </c>
      <c r="B353" s="3">
        <v>46177</v>
      </c>
      <c r="C353" s="2" t="s">
        <v>8</v>
      </c>
      <c r="D353" s="2" t="s">
        <v>9</v>
      </c>
      <c r="E353" s="2" t="s">
        <v>17</v>
      </c>
      <c r="F353" s="2" t="s">
        <v>58</v>
      </c>
      <c r="G353" s="4">
        <v>1291.1400000000001</v>
      </c>
      <c r="H353" s="4">
        <v>1333.33</v>
      </c>
    </row>
    <row r="354" spans="1:8" x14ac:dyDescent="0.2">
      <c r="A354" s="2">
        <v>100353</v>
      </c>
      <c r="B354" s="3">
        <v>46190</v>
      </c>
      <c r="C354" s="2" t="s">
        <v>8</v>
      </c>
      <c r="D354" s="2" t="s">
        <v>16</v>
      </c>
      <c r="E354" s="2" t="s">
        <v>17</v>
      </c>
      <c r="F354" s="2" t="s">
        <v>18</v>
      </c>
      <c r="G354" s="4">
        <v>1392.58</v>
      </c>
      <c r="H354" s="4">
        <v>1333.33</v>
      </c>
    </row>
    <row r="355" spans="1:8" x14ac:dyDescent="0.2">
      <c r="A355" s="2">
        <v>100354</v>
      </c>
      <c r="B355" s="3">
        <v>46181</v>
      </c>
      <c r="C355" s="2" t="s">
        <v>8</v>
      </c>
      <c r="D355" s="2" t="s">
        <v>16</v>
      </c>
      <c r="E355" s="2" t="s">
        <v>20</v>
      </c>
      <c r="F355" s="2" t="s">
        <v>28</v>
      </c>
      <c r="G355" s="4">
        <v>561.45000000000005</v>
      </c>
      <c r="H355" s="4">
        <v>500</v>
      </c>
    </row>
    <row r="356" spans="1:8" x14ac:dyDescent="0.2">
      <c r="A356" s="2">
        <v>100355</v>
      </c>
      <c r="B356" s="3">
        <v>46194</v>
      </c>
      <c r="C356" s="2" t="s">
        <v>8</v>
      </c>
      <c r="D356" s="2" t="s">
        <v>9</v>
      </c>
      <c r="E356" s="2" t="s">
        <v>20</v>
      </c>
      <c r="F356" s="2" t="s">
        <v>22</v>
      </c>
      <c r="G356" s="4">
        <v>394.09</v>
      </c>
      <c r="H356" s="4">
        <v>500</v>
      </c>
    </row>
    <row r="357" spans="1:8" x14ac:dyDescent="0.2">
      <c r="A357" s="2">
        <v>100356</v>
      </c>
      <c r="B357" s="3">
        <v>46198</v>
      </c>
      <c r="C357" s="2" t="s">
        <v>8</v>
      </c>
      <c r="D357" s="2" t="s">
        <v>12</v>
      </c>
      <c r="E357" s="2" t="s">
        <v>20</v>
      </c>
      <c r="F357" s="2" t="s">
        <v>28</v>
      </c>
      <c r="G357" s="4">
        <v>502.49</v>
      </c>
      <c r="H357" s="4">
        <v>500</v>
      </c>
    </row>
    <row r="358" spans="1:8" x14ac:dyDescent="0.2">
      <c r="A358" s="2">
        <v>100357</v>
      </c>
      <c r="B358" s="3">
        <v>46200</v>
      </c>
      <c r="C358" s="2" t="s">
        <v>8</v>
      </c>
      <c r="D358" s="2" t="s">
        <v>16</v>
      </c>
      <c r="E358" s="2" t="s">
        <v>20</v>
      </c>
      <c r="F358" s="2" t="s">
        <v>29</v>
      </c>
      <c r="G358" s="4">
        <v>556.84</v>
      </c>
      <c r="H358" s="4">
        <v>500</v>
      </c>
    </row>
    <row r="359" spans="1:8" x14ac:dyDescent="0.2">
      <c r="A359" s="2">
        <v>100358</v>
      </c>
      <c r="B359" s="3">
        <v>46178</v>
      </c>
      <c r="C359" s="2" t="s">
        <v>8</v>
      </c>
      <c r="D359" s="2" t="s">
        <v>9</v>
      </c>
      <c r="E359" s="2" t="s">
        <v>20</v>
      </c>
      <c r="F359" s="2" t="s">
        <v>28</v>
      </c>
      <c r="G359" s="4">
        <v>434.07</v>
      </c>
      <c r="H359" s="4">
        <v>500</v>
      </c>
    </row>
    <row r="360" spans="1:8" x14ac:dyDescent="0.2">
      <c r="A360" s="2">
        <v>100359</v>
      </c>
      <c r="B360" s="3">
        <v>46198</v>
      </c>
      <c r="C360" s="2" t="s">
        <v>23</v>
      </c>
      <c r="D360" s="2" t="s">
        <v>9</v>
      </c>
      <c r="E360" s="2" t="s">
        <v>24</v>
      </c>
      <c r="F360" s="2" t="s">
        <v>56</v>
      </c>
      <c r="G360" s="4">
        <v>12263.99</v>
      </c>
      <c r="H360" s="4">
        <v>11666.67</v>
      </c>
    </row>
    <row r="361" spans="1:8" x14ac:dyDescent="0.2">
      <c r="A361" s="2">
        <v>100360</v>
      </c>
      <c r="B361" s="3">
        <v>46198</v>
      </c>
      <c r="C361" s="2" t="s">
        <v>23</v>
      </c>
      <c r="D361" s="2" t="s">
        <v>9</v>
      </c>
      <c r="E361" s="2" t="s">
        <v>24</v>
      </c>
      <c r="F361" s="2" t="s">
        <v>56</v>
      </c>
      <c r="G361" s="4">
        <v>9783.35</v>
      </c>
      <c r="H361" s="4">
        <v>11666.67</v>
      </c>
    </row>
    <row r="362" spans="1:8" x14ac:dyDescent="0.2">
      <c r="A362" s="2">
        <v>100361</v>
      </c>
      <c r="B362" s="3">
        <v>46192</v>
      </c>
      <c r="C362" s="2" t="s">
        <v>23</v>
      </c>
      <c r="D362" s="2" t="s">
        <v>16</v>
      </c>
      <c r="E362" s="2" t="s">
        <v>24</v>
      </c>
      <c r="F362" s="2" t="s">
        <v>26</v>
      </c>
      <c r="G362" s="4">
        <v>11456.39</v>
      </c>
      <c r="H362" s="4">
        <v>11666.67</v>
      </c>
    </row>
    <row r="363" spans="1:8" x14ac:dyDescent="0.2">
      <c r="A363" s="2">
        <v>100362</v>
      </c>
      <c r="B363" s="3">
        <v>46192</v>
      </c>
      <c r="C363" s="2" t="s">
        <v>23</v>
      </c>
      <c r="D363" s="2" t="s">
        <v>12</v>
      </c>
      <c r="E363" s="2" t="s">
        <v>20</v>
      </c>
      <c r="F363" s="2" t="s">
        <v>29</v>
      </c>
      <c r="G363" s="4">
        <v>727.25</v>
      </c>
      <c r="H363" s="4">
        <v>600</v>
      </c>
    </row>
    <row r="364" spans="1:8" x14ac:dyDescent="0.2">
      <c r="A364" s="2">
        <v>100363</v>
      </c>
      <c r="B364" s="3">
        <v>46184</v>
      </c>
      <c r="C364" s="2" t="s">
        <v>23</v>
      </c>
      <c r="D364" s="2" t="s">
        <v>12</v>
      </c>
      <c r="E364" s="2" t="s">
        <v>20</v>
      </c>
      <c r="F364" s="2" t="s">
        <v>21</v>
      </c>
      <c r="G364" s="4">
        <v>745.96</v>
      </c>
      <c r="H364" s="4">
        <v>600</v>
      </c>
    </row>
    <row r="365" spans="1:8" x14ac:dyDescent="0.2">
      <c r="A365" s="2">
        <v>100364</v>
      </c>
      <c r="B365" s="3">
        <v>46188</v>
      </c>
      <c r="C365" s="2" t="s">
        <v>23</v>
      </c>
      <c r="D365" s="2" t="s">
        <v>12</v>
      </c>
      <c r="E365" s="2" t="s">
        <v>20</v>
      </c>
      <c r="F365" s="2" t="s">
        <v>22</v>
      </c>
      <c r="G365" s="4">
        <v>544.84</v>
      </c>
      <c r="H365" s="4">
        <v>600</v>
      </c>
    </row>
    <row r="366" spans="1:8" x14ac:dyDescent="0.2">
      <c r="A366" s="2">
        <v>100365</v>
      </c>
      <c r="B366" s="3">
        <v>46183</v>
      </c>
      <c r="C366" s="2" t="s">
        <v>23</v>
      </c>
      <c r="D366" s="2" t="s">
        <v>16</v>
      </c>
      <c r="E366" s="2" t="s">
        <v>20</v>
      </c>
      <c r="F366" s="2" t="s">
        <v>21</v>
      </c>
      <c r="G366" s="4">
        <v>582.66</v>
      </c>
      <c r="H366" s="4">
        <v>600</v>
      </c>
    </row>
    <row r="367" spans="1:8" x14ac:dyDescent="0.2">
      <c r="A367" s="2">
        <v>100366</v>
      </c>
      <c r="B367" s="3">
        <v>46185</v>
      </c>
      <c r="C367" s="2" t="s">
        <v>23</v>
      </c>
      <c r="D367" s="2" t="s">
        <v>16</v>
      </c>
      <c r="E367" s="2" t="s">
        <v>20</v>
      </c>
      <c r="F367" s="2" t="s">
        <v>30</v>
      </c>
      <c r="G367" s="4">
        <v>627.42999999999995</v>
      </c>
      <c r="H367" s="4">
        <v>600</v>
      </c>
    </row>
    <row r="368" spans="1:8" x14ac:dyDescent="0.2">
      <c r="A368" s="2">
        <v>100367</v>
      </c>
      <c r="B368" s="3">
        <v>46175</v>
      </c>
      <c r="C368" s="2" t="s">
        <v>23</v>
      </c>
      <c r="D368" s="2" t="s">
        <v>16</v>
      </c>
      <c r="E368" s="2" t="s">
        <v>17</v>
      </c>
      <c r="F368" s="2" t="s">
        <v>18</v>
      </c>
      <c r="G368" s="4">
        <v>1226.0899999999999</v>
      </c>
      <c r="H368" s="4">
        <v>1250</v>
      </c>
    </row>
    <row r="369" spans="1:8" x14ac:dyDescent="0.2">
      <c r="A369" s="2">
        <v>100368</v>
      </c>
      <c r="B369" s="3">
        <v>46176</v>
      </c>
      <c r="C369" s="2" t="s">
        <v>23</v>
      </c>
      <c r="D369" s="2" t="s">
        <v>16</v>
      </c>
      <c r="E369" s="2" t="s">
        <v>17</v>
      </c>
      <c r="F369" s="2" t="s">
        <v>18</v>
      </c>
      <c r="G369" s="4">
        <v>1457.31</v>
      </c>
      <c r="H369" s="4">
        <v>1250</v>
      </c>
    </row>
    <row r="370" spans="1:8" x14ac:dyDescent="0.2">
      <c r="A370" s="2">
        <v>100369</v>
      </c>
      <c r="B370" s="3">
        <v>46199</v>
      </c>
      <c r="C370" s="2" t="s">
        <v>23</v>
      </c>
      <c r="D370" s="2" t="s">
        <v>16</v>
      </c>
      <c r="E370" s="2" t="s">
        <v>34</v>
      </c>
      <c r="F370" s="2" t="s">
        <v>39</v>
      </c>
      <c r="G370" s="4">
        <v>1248.2</v>
      </c>
      <c r="H370" s="4">
        <v>1200</v>
      </c>
    </row>
    <row r="371" spans="1:8" x14ac:dyDescent="0.2">
      <c r="A371" s="2">
        <v>100370</v>
      </c>
      <c r="B371" s="3">
        <v>46192</v>
      </c>
      <c r="C371" s="2" t="s">
        <v>23</v>
      </c>
      <c r="D371" s="2" t="s">
        <v>16</v>
      </c>
      <c r="E371" s="2" t="s">
        <v>34</v>
      </c>
      <c r="F371" s="2" t="s">
        <v>35</v>
      </c>
      <c r="G371" s="4">
        <v>1445.43</v>
      </c>
      <c r="H371" s="4">
        <v>1200</v>
      </c>
    </row>
    <row r="372" spans="1:8" x14ac:dyDescent="0.2">
      <c r="A372" s="2">
        <v>100371</v>
      </c>
      <c r="B372" s="3">
        <v>46190</v>
      </c>
      <c r="C372" s="2" t="s">
        <v>23</v>
      </c>
      <c r="D372" s="2" t="s">
        <v>16</v>
      </c>
      <c r="E372" s="2" t="s">
        <v>34</v>
      </c>
      <c r="F372" s="2" t="s">
        <v>35</v>
      </c>
      <c r="G372" s="4">
        <v>1263</v>
      </c>
      <c r="H372" s="4">
        <v>1200</v>
      </c>
    </row>
    <row r="373" spans="1:8" x14ac:dyDescent="0.2">
      <c r="A373" s="2">
        <v>100372</v>
      </c>
      <c r="B373" s="3">
        <v>46199</v>
      </c>
      <c r="C373" s="2" t="s">
        <v>23</v>
      </c>
      <c r="D373" s="2" t="s">
        <v>9</v>
      </c>
      <c r="E373" s="2" t="s">
        <v>34</v>
      </c>
      <c r="F373" s="2" t="s">
        <v>36</v>
      </c>
      <c r="G373" s="4">
        <v>1170.31</v>
      </c>
      <c r="H373" s="4">
        <v>1200</v>
      </c>
    </row>
    <row r="374" spans="1:8" x14ac:dyDescent="0.2">
      <c r="A374" s="2">
        <v>100373</v>
      </c>
      <c r="B374" s="3">
        <v>46194</v>
      </c>
      <c r="C374" s="2" t="s">
        <v>23</v>
      </c>
      <c r="D374" s="2" t="s">
        <v>12</v>
      </c>
      <c r="E374" s="2" t="s">
        <v>34</v>
      </c>
      <c r="F374" s="2" t="s">
        <v>35</v>
      </c>
      <c r="G374" s="4">
        <v>950.6</v>
      </c>
      <c r="H374" s="4">
        <v>1200</v>
      </c>
    </row>
    <row r="375" spans="1:8" x14ac:dyDescent="0.2">
      <c r="A375" s="2">
        <v>100374</v>
      </c>
      <c r="B375" s="3">
        <v>46188</v>
      </c>
      <c r="C375" s="2" t="s">
        <v>40</v>
      </c>
      <c r="D375" s="2" t="s">
        <v>9</v>
      </c>
      <c r="E375" s="2" t="s">
        <v>41</v>
      </c>
      <c r="F375" s="2" t="s">
        <v>42</v>
      </c>
      <c r="G375" s="4">
        <v>52431.02</v>
      </c>
      <c r="H375" s="4">
        <v>47500</v>
      </c>
    </row>
    <row r="376" spans="1:8" x14ac:dyDescent="0.2">
      <c r="A376" s="2">
        <v>100375</v>
      </c>
      <c r="B376" s="3">
        <v>46183</v>
      </c>
      <c r="C376" s="2" t="s">
        <v>40</v>
      </c>
      <c r="D376" s="2" t="s">
        <v>16</v>
      </c>
      <c r="E376" s="2" t="s">
        <v>41</v>
      </c>
      <c r="F376" s="2" t="s">
        <v>42</v>
      </c>
      <c r="G376" s="4">
        <v>44480.23</v>
      </c>
      <c r="H376" s="4">
        <v>47500</v>
      </c>
    </row>
    <row r="377" spans="1:8" x14ac:dyDescent="0.2">
      <c r="A377" s="2">
        <v>100376</v>
      </c>
      <c r="B377" s="3">
        <v>46175</v>
      </c>
      <c r="C377" s="2" t="s">
        <v>40</v>
      </c>
      <c r="D377" s="2" t="s">
        <v>16</v>
      </c>
      <c r="E377" s="2" t="s">
        <v>20</v>
      </c>
      <c r="F377" s="2" t="s">
        <v>21</v>
      </c>
      <c r="G377" s="4">
        <v>980.5</v>
      </c>
      <c r="H377" s="4">
        <v>900</v>
      </c>
    </row>
    <row r="378" spans="1:8" x14ac:dyDescent="0.2">
      <c r="A378" s="2">
        <v>100377</v>
      </c>
      <c r="B378" s="3">
        <v>46176</v>
      </c>
      <c r="C378" s="2" t="s">
        <v>40</v>
      </c>
      <c r="D378" s="2" t="s">
        <v>12</v>
      </c>
      <c r="E378" s="2" t="s">
        <v>20</v>
      </c>
      <c r="F378" s="2" t="s">
        <v>28</v>
      </c>
      <c r="G378" s="4">
        <v>966.29</v>
      </c>
      <c r="H378" s="4">
        <v>900</v>
      </c>
    </row>
    <row r="379" spans="1:8" x14ac:dyDescent="0.2">
      <c r="A379" s="2">
        <v>100378</v>
      </c>
      <c r="B379" s="3">
        <v>46186</v>
      </c>
      <c r="C379" s="2" t="s">
        <v>40</v>
      </c>
      <c r="D379" s="2" t="s">
        <v>9</v>
      </c>
      <c r="E379" s="2" t="s">
        <v>20</v>
      </c>
      <c r="F379" s="2" t="s">
        <v>28</v>
      </c>
      <c r="G379" s="4">
        <v>926.08</v>
      </c>
      <c r="H379" s="4">
        <v>900</v>
      </c>
    </row>
    <row r="380" spans="1:8" x14ac:dyDescent="0.2">
      <c r="A380" s="2">
        <v>100379</v>
      </c>
      <c r="B380" s="3">
        <v>46195</v>
      </c>
      <c r="C380" s="2" t="s">
        <v>40</v>
      </c>
      <c r="D380" s="2" t="s">
        <v>16</v>
      </c>
      <c r="E380" s="2" t="s">
        <v>20</v>
      </c>
      <c r="F380" s="2" t="s">
        <v>30</v>
      </c>
      <c r="G380" s="4">
        <v>1000.68</v>
      </c>
      <c r="H380" s="4">
        <v>900</v>
      </c>
    </row>
    <row r="381" spans="1:8" x14ac:dyDescent="0.2">
      <c r="A381" s="2">
        <v>100380</v>
      </c>
      <c r="B381" s="3">
        <v>46192</v>
      </c>
      <c r="C381" s="2" t="s">
        <v>40</v>
      </c>
      <c r="D381" s="2" t="s">
        <v>9</v>
      </c>
      <c r="E381" s="2" t="s">
        <v>20</v>
      </c>
      <c r="F381" s="2" t="s">
        <v>29</v>
      </c>
      <c r="G381" s="4">
        <v>825.01</v>
      </c>
      <c r="H381" s="4">
        <v>900</v>
      </c>
    </row>
    <row r="382" spans="1:8" x14ac:dyDescent="0.2">
      <c r="A382" s="2">
        <v>100381</v>
      </c>
      <c r="B382" s="3">
        <v>46194</v>
      </c>
      <c r="C382" s="2" t="s">
        <v>40</v>
      </c>
      <c r="D382" s="2" t="s">
        <v>16</v>
      </c>
      <c r="E382" s="2" t="s">
        <v>43</v>
      </c>
      <c r="F382" s="2" t="s">
        <v>44</v>
      </c>
      <c r="G382" s="4">
        <v>3620.46</v>
      </c>
      <c r="H382" s="4">
        <v>4000</v>
      </c>
    </row>
    <row r="383" spans="1:8" x14ac:dyDescent="0.2">
      <c r="A383" s="2">
        <v>100382</v>
      </c>
      <c r="B383" s="3">
        <v>46193</v>
      </c>
      <c r="C383" s="2" t="s">
        <v>40</v>
      </c>
      <c r="D383" s="2" t="s">
        <v>12</v>
      </c>
      <c r="E383" s="2" t="s">
        <v>43</v>
      </c>
      <c r="F383" s="2" t="s">
        <v>44</v>
      </c>
      <c r="G383" s="4">
        <v>3783.92</v>
      </c>
      <c r="H383" s="4">
        <v>4000</v>
      </c>
    </row>
    <row r="384" spans="1:8" x14ac:dyDescent="0.2">
      <c r="A384" s="2">
        <v>100383</v>
      </c>
      <c r="B384" s="3">
        <v>46186</v>
      </c>
      <c r="C384" s="2" t="s">
        <v>40</v>
      </c>
      <c r="D384" s="2" t="s">
        <v>9</v>
      </c>
      <c r="E384" s="2" t="s">
        <v>43</v>
      </c>
      <c r="F384" s="2" t="s">
        <v>44</v>
      </c>
      <c r="G384" s="4">
        <v>3619.16</v>
      </c>
      <c r="H384" s="4">
        <v>4000</v>
      </c>
    </row>
    <row r="385" spans="1:8" x14ac:dyDescent="0.2">
      <c r="A385" s="2">
        <v>100384</v>
      </c>
      <c r="B385" s="3">
        <v>46200</v>
      </c>
      <c r="C385" s="2" t="s">
        <v>40</v>
      </c>
      <c r="D385" s="2" t="s">
        <v>9</v>
      </c>
      <c r="E385" s="2" t="s">
        <v>34</v>
      </c>
      <c r="F385" s="2" t="s">
        <v>38</v>
      </c>
      <c r="G385" s="4">
        <v>1356.32</v>
      </c>
      <c r="H385" s="4">
        <v>1250</v>
      </c>
    </row>
    <row r="386" spans="1:8" x14ac:dyDescent="0.2">
      <c r="A386" s="2">
        <v>100385</v>
      </c>
      <c r="B386" s="3">
        <v>46187</v>
      </c>
      <c r="C386" s="2" t="s">
        <v>40</v>
      </c>
      <c r="D386" s="2" t="s">
        <v>9</v>
      </c>
      <c r="E386" s="2" t="s">
        <v>34</v>
      </c>
      <c r="F386" s="2" t="s">
        <v>38</v>
      </c>
      <c r="G386" s="4">
        <v>1341.27</v>
      </c>
      <c r="H386" s="4">
        <v>1250</v>
      </c>
    </row>
    <row r="387" spans="1:8" x14ac:dyDescent="0.2">
      <c r="A387" s="2">
        <v>100386</v>
      </c>
      <c r="B387" s="3">
        <v>46183</v>
      </c>
      <c r="C387" s="2" t="s">
        <v>40</v>
      </c>
      <c r="D387" s="2" t="s">
        <v>16</v>
      </c>
      <c r="E387" s="2" t="s">
        <v>34</v>
      </c>
      <c r="F387" s="2" t="s">
        <v>35</v>
      </c>
      <c r="G387" s="4">
        <v>948.89</v>
      </c>
      <c r="H387" s="4">
        <v>1250</v>
      </c>
    </row>
    <row r="388" spans="1:8" x14ac:dyDescent="0.2">
      <c r="A388" s="2">
        <v>100387</v>
      </c>
      <c r="B388" s="3">
        <v>46198</v>
      </c>
      <c r="C388" s="2" t="s">
        <v>40</v>
      </c>
      <c r="D388" s="2" t="s">
        <v>9</v>
      </c>
      <c r="E388" s="2" t="s">
        <v>34</v>
      </c>
      <c r="F388" s="2" t="s">
        <v>37</v>
      </c>
      <c r="G388" s="4">
        <v>1151.08</v>
      </c>
      <c r="H388" s="4">
        <v>1250</v>
      </c>
    </row>
    <row r="389" spans="1:8" x14ac:dyDescent="0.2">
      <c r="A389" s="2">
        <v>100388</v>
      </c>
      <c r="B389" s="3">
        <v>46178</v>
      </c>
      <c r="C389" s="2" t="s">
        <v>46</v>
      </c>
      <c r="D389" s="2" t="s">
        <v>9</v>
      </c>
      <c r="E389" s="2" t="s">
        <v>41</v>
      </c>
      <c r="F389" s="2" t="s">
        <v>42</v>
      </c>
      <c r="G389" s="4">
        <v>17499.84</v>
      </c>
      <c r="H389" s="4">
        <v>14000</v>
      </c>
    </row>
    <row r="390" spans="1:8" x14ac:dyDescent="0.2">
      <c r="A390" s="2">
        <v>100389</v>
      </c>
      <c r="B390" s="3">
        <v>46177</v>
      </c>
      <c r="C390" s="2" t="s">
        <v>46</v>
      </c>
      <c r="D390" s="2" t="s">
        <v>16</v>
      </c>
      <c r="E390" s="2" t="s">
        <v>41</v>
      </c>
      <c r="F390" s="2" t="s">
        <v>42</v>
      </c>
      <c r="G390" s="4">
        <v>16411</v>
      </c>
      <c r="H390" s="4">
        <v>14000</v>
      </c>
    </row>
    <row r="391" spans="1:8" x14ac:dyDescent="0.2">
      <c r="A391" s="2">
        <v>100390</v>
      </c>
      <c r="B391" s="3">
        <v>46198</v>
      </c>
      <c r="C391" s="2" t="s">
        <v>46</v>
      </c>
      <c r="D391" s="2" t="s">
        <v>12</v>
      </c>
      <c r="E391" s="2" t="s">
        <v>41</v>
      </c>
      <c r="F391" s="2" t="s">
        <v>42</v>
      </c>
      <c r="G391" s="4">
        <v>12857.35</v>
      </c>
      <c r="H391" s="4">
        <v>14000</v>
      </c>
    </row>
    <row r="392" spans="1:8" x14ac:dyDescent="0.2">
      <c r="A392" s="2">
        <v>100391</v>
      </c>
      <c r="B392" s="3">
        <v>46200</v>
      </c>
      <c r="C392" s="2" t="s">
        <v>46</v>
      </c>
      <c r="D392" s="2" t="s">
        <v>9</v>
      </c>
      <c r="E392" s="2" t="s">
        <v>47</v>
      </c>
      <c r="F392" s="2" t="s">
        <v>49</v>
      </c>
      <c r="G392" s="4">
        <v>2493.37</v>
      </c>
      <c r="H392" s="4">
        <v>3000</v>
      </c>
    </row>
    <row r="393" spans="1:8" x14ac:dyDescent="0.2">
      <c r="A393" s="2">
        <v>100392</v>
      </c>
      <c r="B393" s="3">
        <v>46187</v>
      </c>
      <c r="C393" s="2" t="s">
        <v>46</v>
      </c>
      <c r="D393" s="2" t="s">
        <v>12</v>
      </c>
      <c r="E393" s="2" t="s">
        <v>47</v>
      </c>
      <c r="F393" s="2" t="s">
        <v>50</v>
      </c>
      <c r="G393" s="4">
        <v>2906.51</v>
      </c>
      <c r="H393" s="4">
        <v>3000</v>
      </c>
    </row>
    <row r="394" spans="1:8" x14ac:dyDescent="0.2">
      <c r="A394" s="2">
        <v>100393</v>
      </c>
      <c r="B394" s="3">
        <v>46188</v>
      </c>
      <c r="C394" s="2" t="s">
        <v>46</v>
      </c>
      <c r="D394" s="2" t="s">
        <v>12</v>
      </c>
      <c r="E394" s="2" t="s">
        <v>47</v>
      </c>
      <c r="F394" s="2" t="s">
        <v>50</v>
      </c>
      <c r="G394" s="4">
        <v>3329.38</v>
      </c>
      <c r="H394" s="4">
        <v>3000</v>
      </c>
    </row>
    <row r="395" spans="1:8" x14ac:dyDescent="0.2">
      <c r="A395" s="2">
        <v>100394</v>
      </c>
      <c r="B395" s="3">
        <v>46181</v>
      </c>
      <c r="C395" s="2" t="s">
        <v>46</v>
      </c>
      <c r="D395" s="2" t="s">
        <v>12</v>
      </c>
      <c r="E395" s="2" t="s">
        <v>47</v>
      </c>
      <c r="F395" s="2" t="s">
        <v>49</v>
      </c>
      <c r="G395" s="4">
        <v>3425.7</v>
      </c>
      <c r="H395" s="4">
        <v>3000</v>
      </c>
    </row>
    <row r="396" spans="1:8" x14ac:dyDescent="0.2">
      <c r="A396" s="2">
        <v>100395</v>
      </c>
      <c r="B396" s="3">
        <v>46199</v>
      </c>
      <c r="C396" s="2" t="s">
        <v>46</v>
      </c>
      <c r="D396" s="2" t="s">
        <v>16</v>
      </c>
      <c r="E396" s="2" t="s">
        <v>47</v>
      </c>
      <c r="F396" s="2" t="s">
        <v>48</v>
      </c>
      <c r="G396" s="4">
        <v>3698.39</v>
      </c>
      <c r="H396" s="4">
        <v>3000</v>
      </c>
    </row>
    <row r="397" spans="1:8" x14ac:dyDescent="0.2">
      <c r="A397" s="2">
        <v>100396</v>
      </c>
      <c r="B397" s="3">
        <v>46192</v>
      </c>
      <c r="C397" s="2" t="s">
        <v>46</v>
      </c>
      <c r="D397" s="2" t="s">
        <v>16</v>
      </c>
      <c r="E397" s="2" t="s">
        <v>20</v>
      </c>
      <c r="F397" s="2" t="s">
        <v>31</v>
      </c>
      <c r="G397" s="4">
        <v>726.1</v>
      </c>
      <c r="H397" s="4">
        <v>666.67</v>
      </c>
    </row>
    <row r="398" spans="1:8" x14ac:dyDescent="0.2">
      <c r="A398" s="2">
        <v>100397</v>
      </c>
      <c r="B398" s="3">
        <v>46198</v>
      </c>
      <c r="C398" s="2" t="s">
        <v>46</v>
      </c>
      <c r="D398" s="2" t="s">
        <v>16</v>
      </c>
      <c r="E398" s="2" t="s">
        <v>20</v>
      </c>
      <c r="F398" s="2" t="s">
        <v>31</v>
      </c>
      <c r="G398" s="4">
        <v>756.48</v>
      </c>
      <c r="H398" s="4">
        <v>666.67</v>
      </c>
    </row>
    <row r="399" spans="1:8" x14ac:dyDescent="0.2">
      <c r="A399" s="2">
        <v>100398</v>
      </c>
      <c r="B399" s="3">
        <v>46179</v>
      </c>
      <c r="C399" s="2" t="s">
        <v>46</v>
      </c>
      <c r="D399" s="2" t="s">
        <v>12</v>
      </c>
      <c r="E399" s="2" t="s">
        <v>20</v>
      </c>
      <c r="F399" s="2" t="s">
        <v>21</v>
      </c>
      <c r="G399" s="4">
        <v>675.82</v>
      </c>
      <c r="H399" s="4">
        <v>666.67</v>
      </c>
    </row>
    <row r="400" spans="1:8" x14ac:dyDescent="0.2">
      <c r="A400" s="2">
        <v>100399</v>
      </c>
      <c r="B400" s="3">
        <v>46182</v>
      </c>
      <c r="C400" s="2" t="s">
        <v>46</v>
      </c>
      <c r="D400" s="2" t="s">
        <v>12</v>
      </c>
      <c r="E400" s="2" t="s">
        <v>34</v>
      </c>
      <c r="F400" s="2" t="s">
        <v>39</v>
      </c>
      <c r="G400" s="4">
        <v>955.73</v>
      </c>
      <c r="H400" s="4">
        <v>1166.67</v>
      </c>
    </row>
    <row r="401" spans="1:8" x14ac:dyDescent="0.2">
      <c r="A401" s="2">
        <v>100400</v>
      </c>
      <c r="B401" s="3">
        <v>46185</v>
      </c>
      <c r="C401" s="2" t="s">
        <v>46</v>
      </c>
      <c r="D401" s="2" t="s">
        <v>12</v>
      </c>
      <c r="E401" s="2" t="s">
        <v>34</v>
      </c>
      <c r="F401" s="2" t="s">
        <v>38</v>
      </c>
      <c r="G401" s="4">
        <v>1155.3399999999999</v>
      </c>
      <c r="H401" s="4">
        <v>1166.67</v>
      </c>
    </row>
    <row r="402" spans="1:8" x14ac:dyDescent="0.2">
      <c r="A402" s="2">
        <v>100401</v>
      </c>
      <c r="B402" s="3">
        <v>46190</v>
      </c>
      <c r="C402" s="2" t="s">
        <v>46</v>
      </c>
      <c r="D402" s="2" t="s">
        <v>9</v>
      </c>
      <c r="E402" s="2" t="s">
        <v>34</v>
      </c>
      <c r="F402" s="2" t="s">
        <v>39</v>
      </c>
      <c r="G402" s="4">
        <v>1289.98</v>
      </c>
      <c r="H402" s="4">
        <v>1166.67</v>
      </c>
    </row>
    <row r="403" spans="1:8" x14ac:dyDescent="0.2">
      <c r="A403" s="2">
        <v>100402</v>
      </c>
      <c r="B403" s="3">
        <v>46182</v>
      </c>
      <c r="C403" s="2" t="s">
        <v>52</v>
      </c>
      <c r="D403" s="2" t="s">
        <v>9</v>
      </c>
      <c r="E403" s="2" t="s">
        <v>41</v>
      </c>
      <c r="F403" s="2" t="s">
        <v>42</v>
      </c>
      <c r="G403" s="4">
        <v>10749.8</v>
      </c>
      <c r="H403" s="4">
        <v>9500</v>
      </c>
    </row>
    <row r="404" spans="1:8" x14ac:dyDescent="0.2">
      <c r="A404" s="2">
        <v>100403</v>
      </c>
      <c r="B404" s="3">
        <v>46176</v>
      </c>
      <c r="C404" s="2" t="s">
        <v>52</v>
      </c>
      <c r="D404" s="2" t="s">
        <v>9</v>
      </c>
      <c r="E404" s="2" t="s">
        <v>41</v>
      </c>
      <c r="F404" s="2" t="s">
        <v>42</v>
      </c>
      <c r="G404" s="4">
        <v>11072.47</v>
      </c>
      <c r="H404" s="4">
        <v>9500</v>
      </c>
    </row>
    <row r="405" spans="1:8" x14ac:dyDescent="0.2">
      <c r="A405" s="2">
        <v>100404</v>
      </c>
      <c r="B405" s="3">
        <v>46174</v>
      </c>
      <c r="C405" s="2" t="s">
        <v>52</v>
      </c>
      <c r="D405" s="2" t="s">
        <v>12</v>
      </c>
      <c r="E405" s="2" t="s">
        <v>41</v>
      </c>
      <c r="F405" s="2" t="s">
        <v>42</v>
      </c>
      <c r="G405" s="4">
        <v>11326.99</v>
      </c>
      <c r="H405" s="4">
        <v>9500</v>
      </c>
    </row>
    <row r="406" spans="1:8" x14ac:dyDescent="0.2">
      <c r="A406" s="2">
        <v>100405</v>
      </c>
      <c r="B406" s="3">
        <v>46185</v>
      </c>
      <c r="C406" s="2" t="s">
        <v>52</v>
      </c>
      <c r="D406" s="2" t="s">
        <v>9</v>
      </c>
      <c r="E406" s="2" t="s">
        <v>41</v>
      </c>
      <c r="F406" s="2" t="s">
        <v>42</v>
      </c>
      <c r="G406" s="4">
        <v>9008.16</v>
      </c>
      <c r="H406" s="4">
        <v>9500</v>
      </c>
    </row>
    <row r="407" spans="1:8" x14ac:dyDescent="0.2">
      <c r="A407" s="2">
        <v>100406</v>
      </c>
      <c r="B407" s="3">
        <v>46174</v>
      </c>
      <c r="C407" s="2" t="s">
        <v>52</v>
      </c>
      <c r="D407" s="2" t="s">
        <v>9</v>
      </c>
      <c r="E407" s="2" t="s">
        <v>47</v>
      </c>
      <c r="F407" s="2" t="s">
        <v>50</v>
      </c>
      <c r="G407" s="4">
        <v>1499.93</v>
      </c>
      <c r="H407" s="4">
        <v>1600</v>
      </c>
    </row>
    <row r="408" spans="1:8" x14ac:dyDescent="0.2">
      <c r="A408" s="2">
        <v>100407</v>
      </c>
      <c r="B408" s="3">
        <v>46194</v>
      </c>
      <c r="C408" s="2" t="s">
        <v>52</v>
      </c>
      <c r="D408" s="2" t="s">
        <v>9</v>
      </c>
      <c r="E408" s="2" t="s">
        <v>47</v>
      </c>
      <c r="F408" s="2" t="s">
        <v>50</v>
      </c>
      <c r="G408" s="4">
        <v>1871.34</v>
      </c>
      <c r="H408" s="4">
        <v>1600</v>
      </c>
    </row>
    <row r="409" spans="1:8" x14ac:dyDescent="0.2">
      <c r="A409" s="2">
        <v>100408</v>
      </c>
      <c r="B409" s="3">
        <v>46183</v>
      </c>
      <c r="C409" s="2" t="s">
        <v>52</v>
      </c>
      <c r="D409" s="2" t="s">
        <v>9</v>
      </c>
      <c r="E409" s="2" t="s">
        <v>47</v>
      </c>
      <c r="F409" s="2" t="s">
        <v>48</v>
      </c>
      <c r="G409" s="4">
        <v>1310.08</v>
      </c>
      <c r="H409" s="4">
        <v>1600</v>
      </c>
    </row>
    <row r="410" spans="1:8" x14ac:dyDescent="0.2">
      <c r="A410" s="2">
        <v>100409</v>
      </c>
      <c r="B410" s="3">
        <v>46189</v>
      </c>
      <c r="C410" s="2" t="s">
        <v>52</v>
      </c>
      <c r="D410" s="2" t="s">
        <v>9</v>
      </c>
      <c r="E410" s="2" t="s">
        <v>47</v>
      </c>
      <c r="F410" s="2" t="s">
        <v>48</v>
      </c>
      <c r="G410" s="4">
        <v>1807.07</v>
      </c>
      <c r="H410" s="4">
        <v>1600</v>
      </c>
    </row>
    <row r="411" spans="1:8" x14ac:dyDescent="0.2">
      <c r="A411" s="2">
        <v>100410</v>
      </c>
      <c r="B411" s="3">
        <v>46174</v>
      </c>
      <c r="C411" s="2" t="s">
        <v>52</v>
      </c>
      <c r="D411" s="2" t="s">
        <v>9</v>
      </c>
      <c r="E411" s="2" t="s">
        <v>47</v>
      </c>
      <c r="F411" s="2" t="s">
        <v>50</v>
      </c>
      <c r="G411" s="4">
        <v>1924.69</v>
      </c>
      <c r="H411" s="4">
        <v>1600</v>
      </c>
    </row>
    <row r="412" spans="1:8" x14ac:dyDescent="0.2">
      <c r="A412" s="2">
        <v>100411</v>
      </c>
      <c r="B412" s="3">
        <v>46197</v>
      </c>
      <c r="C412" s="2" t="s">
        <v>52</v>
      </c>
      <c r="D412" s="2" t="s">
        <v>9</v>
      </c>
      <c r="E412" s="2" t="s">
        <v>34</v>
      </c>
      <c r="F412" s="2" t="s">
        <v>38</v>
      </c>
      <c r="G412" s="4">
        <v>2390.27</v>
      </c>
      <c r="H412" s="4">
        <v>2333.33</v>
      </c>
    </row>
    <row r="413" spans="1:8" x14ac:dyDescent="0.2">
      <c r="A413" s="2">
        <v>100412</v>
      </c>
      <c r="B413" s="3">
        <v>46183</v>
      </c>
      <c r="C413" s="2" t="s">
        <v>52</v>
      </c>
      <c r="D413" s="2" t="s">
        <v>12</v>
      </c>
      <c r="E413" s="2" t="s">
        <v>34</v>
      </c>
      <c r="F413" s="2" t="s">
        <v>35</v>
      </c>
      <c r="G413" s="4">
        <v>1879.72</v>
      </c>
      <c r="H413" s="4">
        <v>2333.33</v>
      </c>
    </row>
    <row r="414" spans="1:8" x14ac:dyDescent="0.2">
      <c r="A414" s="2">
        <v>100413</v>
      </c>
      <c r="B414" s="3">
        <v>46181</v>
      </c>
      <c r="C414" s="2" t="s">
        <v>52</v>
      </c>
      <c r="D414" s="2" t="s">
        <v>12</v>
      </c>
      <c r="E414" s="2" t="s">
        <v>34</v>
      </c>
      <c r="F414" s="2" t="s">
        <v>37</v>
      </c>
      <c r="G414" s="4">
        <v>1892.16</v>
      </c>
      <c r="H414" s="4">
        <v>2333.33</v>
      </c>
    </row>
    <row r="415" spans="1:8" x14ac:dyDescent="0.2">
      <c r="A415" s="2">
        <v>100414</v>
      </c>
      <c r="B415" s="3">
        <v>46189</v>
      </c>
      <c r="C415" s="2" t="s">
        <v>52</v>
      </c>
      <c r="D415" s="2" t="s">
        <v>9</v>
      </c>
      <c r="E415" s="2" t="s">
        <v>20</v>
      </c>
      <c r="F415" s="2" t="s">
        <v>30</v>
      </c>
      <c r="G415" s="4">
        <v>289.95</v>
      </c>
      <c r="H415" s="4">
        <v>360</v>
      </c>
    </row>
    <row r="416" spans="1:8" x14ac:dyDescent="0.2">
      <c r="A416" s="2">
        <v>100415</v>
      </c>
      <c r="B416" s="3">
        <v>46192</v>
      </c>
      <c r="C416" s="2" t="s">
        <v>52</v>
      </c>
      <c r="D416" s="2" t="s">
        <v>9</v>
      </c>
      <c r="E416" s="2" t="s">
        <v>20</v>
      </c>
      <c r="F416" s="2" t="s">
        <v>51</v>
      </c>
      <c r="G416" s="4">
        <v>383.75</v>
      </c>
      <c r="H416" s="4">
        <v>360</v>
      </c>
    </row>
    <row r="417" spans="1:8" x14ac:dyDescent="0.2">
      <c r="A417" s="2">
        <v>100416</v>
      </c>
      <c r="B417" s="3">
        <v>46174</v>
      </c>
      <c r="C417" s="2" t="s">
        <v>52</v>
      </c>
      <c r="D417" s="2" t="s">
        <v>9</v>
      </c>
      <c r="E417" s="2" t="s">
        <v>20</v>
      </c>
      <c r="F417" s="2" t="s">
        <v>30</v>
      </c>
      <c r="G417" s="4">
        <v>322.43</v>
      </c>
      <c r="H417" s="4">
        <v>360</v>
      </c>
    </row>
    <row r="418" spans="1:8" x14ac:dyDescent="0.2">
      <c r="A418" s="2">
        <v>100417</v>
      </c>
      <c r="B418" s="3">
        <v>46187</v>
      </c>
      <c r="C418" s="2" t="s">
        <v>52</v>
      </c>
      <c r="D418" s="2" t="s">
        <v>12</v>
      </c>
      <c r="E418" s="2" t="s">
        <v>20</v>
      </c>
      <c r="F418" s="2" t="s">
        <v>51</v>
      </c>
      <c r="G418" s="4">
        <v>313.3</v>
      </c>
      <c r="H418" s="4">
        <v>360</v>
      </c>
    </row>
    <row r="419" spans="1:8" x14ac:dyDescent="0.2">
      <c r="A419" s="2">
        <v>100418</v>
      </c>
      <c r="B419" s="3">
        <v>46185</v>
      </c>
      <c r="C419" s="2" t="s">
        <v>52</v>
      </c>
      <c r="D419" s="2" t="s">
        <v>9</v>
      </c>
      <c r="E419" s="2" t="s">
        <v>20</v>
      </c>
      <c r="F419" s="2" t="s">
        <v>22</v>
      </c>
      <c r="G419" s="4">
        <v>364.23</v>
      </c>
      <c r="H419" s="4">
        <v>360</v>
      </c>
    </row>
    <row r="420" spans="1:8" x14ac:dyDescent="0.2">
      <c r="A420" s="2">
        <v>100419</v>
      </c>
      <c r="B420" s="3">
        <v>46216</v>
      </c>
      <c r="C420" s="2" t="s">
        <v>8</v>
      </c>
      <c r="D420" s="2" t="s">
        <v>16</v>
      </c>
      <c r="E420" s="2" t="s">
        <v>10</v>
      </c>
      <c r="F420" s="2" t="s">
        <v>64</v>
      </c>
      <c r="G420" s="4">
        <v>70613.14</v>
      </c>
      <c r="H420" s="4">
        <v>90000</v>
      </c>
    </row>
    <row r="421" spans="1:8" x14ac:dyDescent="0.2">
      <c r="A421" s="2">
        <v>100420</v>
      </c>
      <c r="B421" s="3">
        <v>46206</v>
      </c>
      <c r="C421" s="2" t="s">
        <v>8</v>
      </c>
      <c r="D421" s="2" t="s">
        <v>16</v>
      </c>
      <c r="E421" s="2" t="s">
        <v>10</v>
      </c>
      <c r="F421" s="2" t="s">
        <v>64</v>
      </c>
      <c r="G421" s="4">
        <v>83312.3</v>
      </c>
      <c r="H421" s="4">
        <v>90000</v>
      </c>
    </row>
    <row r="422" spans="1:8" x14ac:dyDescent="0.2">
      <c r="A422" s="2">
        <v>100421</v>
      </c>
      <c r="B422" s="3">
        <v>46207</v>
      </c>
      <c r="C422" s="2" t="s">
        <v>8</v>
      </c>
      <c r="D422" s="2" t="s">
        <v>12</v>
      </c>
      <c r="E422" s="2" t="s">
        <v>14</v>
      </c>
      <c r="F422" s="2" t="s">
        <v>15</v>
      </c>
      <c r="G422" s="4">
        <v>6471.31</v>
      </c>
      <c r="H422" s="4">
        <v>6000</v>
      </c>
    </row>
    <row r="423" spans="1:8" x14ac:dyDescent="0.2">
      <c r="A423" s="2">
        <v>100422</v>
      </c>
      <c r="B423" s="3">
        <v>46221</v>
      </c>
      <c r="C423" s="2" t="s">
        <v>8</v>
      </c>
      <c r="D423" s="2" t="s">
        <v>9</v>
      </c>
      <c r="E423" s="2" t="s">
        <v>14</v>
      </c>
      <c r="F423" s="2" t="s">
        <v>15</v>
      </c>
      <c r="G423" s="4">
        <v>4633.01</v>
      </c>
      <c r="H423" s="4">
        <v>6000</v>
      </c>
    </row>
    <row r="424" spans="1:8" x14ac:dyDescent="0.2">
      <c r="A424" s="2">
        <v>100423</v>
      </c>
      <c r="B424" s="3">
        <v>46228</v>
      </c>
      <c r="C424" s="2" t="s">
        <v>8</v>
      </c>
      <c r="D424" s="2" t="s">
        <v>12</v>
      </c>
      <c r="E424" s="2" t="s">
        <v>14</v>
      </c>
      <c r="F424" s="2" t="s">
        <v>15</v>
      </c>
      <c r="G424" s="4">
        <v>5025.2700000000004</v>
      </c>
      <c r="H424" s="4">
        <v>6000</v>
      </c>
    </row>
    <row r="425" spans="1:8" x14ac:dyDescent="0.2">
      <c r="A425" s="2">
        <v>100424</v>
      </c>
      <c r="B425" s="3">
        <v>46208</v>
      </c>
      <c r="C425" s="2" t="s">
        <v>8</v>
      </c>
      <c r="D425" s="2" t="s">
        <v>12</v>
      </c>
      <c r="E425" s="2" t="s">
        <v>17</v>
      </c>
      <c r="F425" s="2" t="s">
        <v>18</v>
      </c>
      <c r="G425" s="4">
        <v>672.91</v>
      </c>
      <c r="H425" s="4">
        <v>800</v>
      </c>
    </row>
    <row r="426" spans="1:8" x14ac:dyDescent="0.2">
      <c r="A426" s="2">
        <v>100425</v>
      </c>
      <c r="B426" s="3">
        <v>46218</v>
      </c>
      <c r="C426" s="2" t="s">
        <v>8</v>
      </c>
      <c r="D426" s="2" t="s">
        <v>12</v>
      </c>
      <c r="E426" s="2" t="s">
        <v>17</v>
      </c>
      <c r="F426" s="2" t="s">
        <v>18</v>
      </c>
      <c r="G426" s="4">
        <v>910.48</v>
      </c>
      <c r="H426" s="4">
        <v>800</v>
      </c>
    </row>
    <row r="427" spans="1:8" x14ac:dyDescent="0.2">
      <c r="A427" s="2">
        <v>100426</v>
      </c>
      <c r="B427" s="3">
        <v>46229</v>
      </c>
      <c r="C427" s="2" t="s">
        <v>8</v>
      </c>
      <c r="D427" s="2" t="s">
        <v>16</v>
      </c>
      <c r="E427" s="2" t="s">
        <v>17</v>
      </c>
      <c r="F427" s="2" t="s">
        <v>58</v>
      </c>
      <c r="G427" s="4">
        <v>680.64</v>
      </c>
      <c r="H427" s="4">
        <v>800</v>
      </c>
    </row>
    <row r="428" spans="1:8" x14ac:dyDescent="0.2">
      <c r="A428" s="2">
        <v>100427</v>
      </c>
      <c r="B428" s="3">
        <v>46213</v>
      </c>
      <c r="C428" s="2" t="s">
        <v>8</v>
      </c>
      <c r="D428" s="2" t="s">
        <v>9</v>
      </c>
      <c r="E428" s="2" t="s">
        <v>17</v>
      </c>
      <c r="F428" s="2" t="s">
        <v>32</v>
      </c>
      <c r="G428" s="4">
        <v>726.24</v>
      </c>
      <c r="H428" s="4">
        <v>800</v>
      </c>
    </row>
    <row r="429" spans="1:8" x14ac:dyDescent="0.2">
      <c r="A429" s="2">
        <v>100428</v>
      </c>
      <c r="B429" s="3">
        <v>46221</v>
      </c>
      <c r="C429" s="2" t="s">
        <v>8</v>
      </c>
      <c r="D429" s="2" t="s">
        <v>16</v>
      </c>
      <c r="E429" s="2" t="s">
        <v>17</v>
      </c>
      <c r="F429" s="2" t="s">
        <v>33</v>
      </c>
      <c r="G429" s="4">
        <v>995.65</v>
      </c>
      <c r="H429" s="4">
        <v>800</v>
      </c>
    </row>
    <row r="430" spans="1:8" x14ac:dyDescent="0.2">
      <c r="A430" s="2">
        <v>100429</v>
      </c>
      <c r="B430" s="3">
        <v>46210</v>
      </c>
      <c r="C430" s="2" t="s">
        <v>8</v>
      </c>
      <c r="D430" s="2" t="s">
        <v>9</v>
      </c>
      <c r="E430" s="2" t="s">
        <v>20</v>
      </c>
      <c r="F430" s="2" t="s">
        <v>28</v>
      </c>
      <c r="G430" s="4">
        <v>704.15</v>
      </c>
      <c r="H430" s="4">
        <v>625</v>
      </c>
    </row>
    <row r="431" spans="1:8" x14ac:dyDescent="0.2">
      <c r="A431" s="2">
        <v>100430</v>
      </c>
      <c r="B431" s="3">
        <v>46205</v>
      </c>
      <c r="C431" s="2" t="s">
        <v>8</v>
      </c>
      <c r="D431" s="2" t="s">
        <v>16</v>
      </c>
      <c r="E431" s="2" t="s">
        <v>20</v>
      </c>
      <c r="F431" s="2" t="s">
        <v>21</v>
      </c>
      <c r="G431" s="4">
        <v>738.17</v>
      </c>
      <c r="H431" s="4">
        <v>625</v>
      </c>
    </row>
    <row r="432" spans="1:8" x14ac:dyDescent="0.2">
      <c r="A432" s="2">
        <v>100431</v>
      </c>
      <c r="B432" s="3">
        <v>46207</v>
      </c>
      <c r="C432" s="2" t="s">
        <v>8</v>
      </c>
      <c r="D432" s="2" t="s">
        <v>12</v>
      </c>
      <c r="E432" s="2" t="s">
        <v>20</v>
      </c>
      <c r="F432" s="2" t="s">
        <v>21</v>
      </c>
      <c r="G432" s="4">
        <v>572.48</v>
      </c>
      <c r="H432" s="4">
        <v>625</v>
      </c>
    </row>
    <row r="433" spans="1:8" x14ac:dyDescent="0.2">
      <c r="A433" s="2">
        <v>100432</v>
      </c>
      <c r="B433" s="3">
        <v>46216</v>
      </c>
      <c r="C433" s="2" t="s">
        <v>8</v>
      </c>
      <c r="D433" s="2" t="s">
        <v>16</v>
      </c>
      <c r="E433" s="2" t="s">
        <v>20</v>
      </c>
      <c r="F433" s="2" t="s">
        <v>29</v>
      </c>
      <c r="G433" s="4">
        <v>605.29999999999995</v>
      </c>
      <c r="H433" s="4">
        <v>625</v>
      </c>
    </row>
    <row r="434" spans="1:8" x14ac:dyDescent="0.2">
      <c r="A434" s="2">
        <v>100433</v>
      </c>
      <c r="B434" s="3">
        <v>46209</v>
      </c>
      <c r="C434" s="2" t="s">
        <v>23</v>
      </c>
      <c r="D434" s="2" t="s">
        <v>16</v>
      </c>
      <c r="E434" s="2" t="s">
        <v>24</v>
      </c>
      <c r="F434" s="2" t="s">
        <v>62</v>
      </c>
      <c r="G434" s="4">
        <v>6436.63</v>
      </c>
      <c r="H434" s="4">
        <v>7000</v>
      </c>
    </row>
    <row r="435" spans="1:8" x14ac:dyDescent="0.2">
      <c r="A435" s="2">
        <v>100434</v>
      </c>
      <c r="B435" s="3">
        <v>46229</v>
      </c>
      <c r="C435" s="2" t="s">
        <v>23</v>
      </c>
      <c r="D435" s="2" t="s">
        <v>12</v>
      </c>
      <c r="E435" s="2" t="s">
        <v>24</v>
      </c>
      <c r="F435" s="2" t="s">
        <v>26</v>
      </c>
      <c r="G435" s="4">
        <v>6991.33</v>
      </c>
      <c r="H435" s="4">
        <v>7000</v>
      </c>
    </row>
    <row r="436" spans="1:8" x14ac:dyDescent="0.2">
      <c r="A436" s="2">
        <v>100435</v>
      </c>
      <c r="B436" s="3">
        <v>46227</v>
      </c>
      <c r="C436" s="2" t="s">
        <v>23</v>
      </c>
      <c r="D436" s="2" t="s">
        <v>16</v>
      </c>
      <c r="E436" s="2" t="s">
        <v>24</v>
      </c>
      <c r="F436" s="2" t="s">
        <v>62</v>
      </c>
      <c r="G436" s="4">
        <v>8054.02</v>
      </c>
      <c r="H436" s="4">
        <v>7000</v>
      </c>
    </row>
    <row r="437" spans="1:8" x14ac:dyDescent="0.2">
      <c r="A437" s="2">
        <v>100436</v>
      </c>
      <c r="B437" s="3">
        <v>46230</v>
      </c>
      <c r="C437" s="2" t="s">
        <v>23</v>
      </c>
      <c r="D437" s="2" t="s">
        <v>9</v>
      </c>
      <c r="E437" s="2" t="s">
        <v>24</v>
      </c>
      <c r="F437" s="2" t="s">
        <v>57</v>
      </c>
      <c r="G437" s="4">
        <v>6757.13</v>
      </c>
      <c r="H437" s="4">
        <v>7000</v>
      </c>
    </row>
    <row r="438" spans="1:8" x14ac:dyDescent="0.2">
      <c r="A438" s="2">
        <v>100437</v>
      </c>
      <c r="B438" s="3">
        <v>46207</v>
      </c>
      <c r="C438" s="2" t="s">
        <v>23</v>
      </c>
      <c r="D438" s="2" t="s">
        <v>12</v>
      </c>
      <c r="E438" s="2" t="s">
        <v>24</v>
      </c>
      <c r="F438" s="2" t="s">
        <v>25</v>
      </c>
      <c r="G438" s="4">
        <v>6278.18</v>
      </c>
      <c r="H438" s="4">
        <v>7000</v>
      </c>
    </row>
    <row r="439" spans="1:8" x14ac:dyDescent="0.2">
      <c r="A439" s="2">
        <v>100438</v>
      </c>
      <c r="B439" s="3">
        <v>46218</v>
      </c>
      <c r="C439" s="2" t="s">
        <v>23</v>
      </c>
      <c r="D439" s="2" t="s">
        <v>12</v>
      </c>
      <c r="E439" s="2" t="s">
        <v>20</v>
      </c>
      <c r="F439" s="2" t="s">
        <v>30</v>
      </c>
      <c r="G439" s="4">
        <v>673.36</v>
      </c>
      <c r="H439" s="4">
        <v>750</v>
      </c>
    </row>
    <row r="440" spans="1:8" x14ac:dyDescent="0.2">
      <c r="A440" s="2">
        <v>100439</v>
      </c>
      <c r="B440" s="3">
        <v>46226</v>
      </c>
      <c r="C440" s="2" t="s">
        <v>23</v>
      </c>
      <c r="D440" s="2" t="s">
        <v>12</v>
      </c>
      <c r="E440" s="2" t="s">
        <v>20</v>
      </c>
      <c r="F440" s="2" t="s">
        <v>31</v>
      </c>
      <c r="G440" s="4">
        <v>722.29</v>
      </c>
      <c r="H440" s="4">
        <v>750</v>
      </c>
    </row>
    <row r="441" spans="1:8" x14ac:dyDescent="0.2">
      <c r="A441" s="2">
        <v>100440</v>
      </c>
      <c r="B441" s="3">
        <v>46227</v>
      </c>
      <c r="C441" s="2" t="s">
        <v>23</v>
      </c>
      <c r="D441" s="2" t="s">
        <v>16</v>
      </c>
      <c r="E441" s="2" t="s">
        <v>20</v>
      </c>
      <c r="F441" s="2" t="s">
        <v>21</v>
      </c>
      <c r="G441" s="4">
        <v>730.17</v>
      </c>
      <c r="H441" s="4">
        <v>750</v>
      </c>
    </row>
    <row r="442" spans="1:8" x14ac:dyDescent="0.2">
      <c r="A442" s="2">
        <v>100441</v>
      </c>
      <c r="B442" s="3">
        <v>46217</v>
      </c>
      <c r="C442" s="2" t="s">
        <v>23</v>
      </c>
      <c r="D442" s="2" t="s">
        <v>16</v>
      </c>
      <c r="E442" s="2" t="s">
        <v>20</v>
      </c>
      <c r="F442" s="2" t="s">
        <v>28</v>
      </c>
      <c r="G442" s="4">
        <v>793.07</v>
      </c>
      <c r="H442" s="4">
        <v>750</v>
      </c>
    </row>
    <row r="443" spans="1:8" x14ac:dyDescent="0.2">
      <c r="A443" s="2">
        <v>100442</v>
      </c>
      <c r="B443" s="3">
        <v>46216</v>
      </c>
      <c r="C443" s="2" t="s">
        <v>23</v>
      </c>
      <c r="D443" s="2" t="s">
        <v>9</v>
      </c>
      <c r="E443" s="2" t="s">
        <v>17</v>
      </c>
      <c r="F443" s="2" t="s">
        <v>19</v>
      </c>
      <c r="G443" s="4">
        <v>1356.99</v>
      </c>
      <c r="H443" s="4">
        <v>1250</v>
      </c>
    </row>
    <row r="444" spans="1:8" x14ac:dyDescent="0.2">
      <c r="A444" s="2">
        <v>100443</v>
      </c>
      <c r="B444" s="3">
        <v>46225</v>
      </c>
      <c r="C444" s="2" t="s">
        <v>23</v>
      </c>
      <c r="D444" s="2" t="s">
        <v>12</v>
      </c>
      <c r="E444" s="2" t="s">
        <v>17</v>
      </c>
      <c r="F444" s="2" t="s">
        <v>58</v>
      </c>
      <c r="G444" s="4">
        <v>1438.18</v>
      </c>
      <c r="H444" s="4">
        <v>1250</v>
      </c>
    </row>
    <row r="445" spans="1:8" x14ac:dyDescent="0.2">
      <c r="A445" s="2">
        <v>100444</v>
      </c>
      <c r="B445" s="3">
        <v>46225</v>
      </c>
      <c r="C445" s="2" t="s">
        <v>23</v>
      </c>
      <c r="D445" s="2" t="s">
        <v>9</v>
      </c>
      <c r="E445" s="2" t="s">
        <v>34</v>
      </c>
      <c r="F445" s="2" t="s">
        <v>37</v>
      </c>
      <c r="G445" s="4">
        <v>3523</v>
      </c>
      <c r="H445" s="4">
        <v>3000</v>
      </c>
    </row>
    <row r="446" spans="1:8" x14ac:dyDescent="0.2">
      <c r="A446" s="2">
        <v>100445</v>
      </c>
      <c r="B446" s="3">
        <v>46211</v>
      </c>
      <c r="C446" s="2" t="s">
        <v>23</v>
      </c>
      <c r="D446" s="2" t="s">
        <v>9</v>
      </c>
      <c r="E446" s="2" t="s">
        <v>34</v>
      </c>
      <c r="F446" s="2" t="s">
        <v>36</v>
      </c>
      <c r="G446" s="4">
        <v>2439.35</v>
      </c>
      <c r="H446" s="4">
        <v>3000</v>
      </c>
    </row>
    <row r="447" spans="1:8" x14ac:dyDescent="0.2">
      <c r="A447" s="2">
        <v>100446</v>
      </c>
      <c r="B447" s="3">
        <v>46205</v>
      </c>
      <c r="C447" s="2" t="s">
        <v>40</v>
      </c>
      <c r="D447" s="2" t="s">
        <v>16</v>
      </c>
      <c r="E447" s="2" t="s">
        <v>41</v>
      </c>
      <c r="F447" s="2" t="s">
        <v>42</v>
      </c>
      <c r="G447" s="4">
        <v>29087.42</v>
      </c>
      <c r="H447" s="4">
        <v>23750</v>
      </c>
    </row>
    <row r="448" spans="1:8" x14ac:dyDescent="0.2">
      <c r="A448" s="2">
        <v>100447</v>
      </c>
      <c r="B448" s="3">
        <v>46215</v>
      </c>
      <c r="C448" s="2" t="s">
        <v>40</v>
      </c>
      <c r="D448" s="2" t="s">
        <v>12</v>
      </c>
      <c r="E448" s="2" t="s">
        <v>41</v>
      </c>
      <c r="F448" s="2" t="s">
        <v>42</v>
      </c>
      <c r="G448" s="4">
        <v>23155.33</v>
      </c>
      <c r="H448" s="4">
        <v>23750</v>
      </c>
    </row>
    <row r="449" spans="1:8" x14ac:dyDescent="0.2">
      <c r="A449" s="2">
        <v>100448</v>
      </c>
      <c r="B449" s="3">
        <v>46222</v>
      </c>
      <c r="C449" s="2" t="s">
        <v>40</v>
      </c>
      <c r="D449" s="2" t="s">
        <v>16</v>
      </c>
      <c r="E449" s="2" t="s">
        <v>41</v>
      </c>
      <c r="F449" s="2" t="s">
        <v>42</v>
      </c>
      <c r="G449" s="4">
        <v>26874.13</v>
      </c>
      <c r="H449" s="4">
        <v>23750</v>
      </c>
    </row>
    <row r="450" spans="1:8" x14ac:dyDescent="0.2">
      <c r="A450" s="2">
        <v>100449</v>
      </c>
      <c r="B450" s="3">
        <v>46214</v>
      </c>
      <c r="C450" s="2" t="s">
        <v>40</v>
      </c>
      <c r="D450" s="2" t="s">
        <v>12</v>
      </c>
      <c r="E450" s="2" t="s">
        <v>41</v>
      </c>
      <c r="F450" s="2" t="s">
        <v>42</v>
      </c>
      <c r="G450" s="4">
        <v>22170.03</v>
      </c>
      <c r="H450" s="4">
        <v>23750</v>
      </c>
    </row>
    <row r="451" spans="1:8" x14ac:dyDescent="0.2">
      <c r="A451" s="2">
        <v>100450</v>
      </c>
      <c r="B451" s="3">
        <v>46209</v>
      </c>
      <c r="C451" s="2" t="s">
        <v>40</v>
      </c>
      <c r="D451" s="2" t="s">
        <v>9</v>
      </c>
      <c r="E451" s="2" t="s">
        <v>20</v>
      </c>
      <c r="F451" s="2" t="s">
        <v>31</v>
      </c>
      <c r="G451" s="4">
        <v>1144.44</v>
      </c>
      <c r="H451" s="4">
        <v>1500</v>
      </c>
    </row>
    <row r="452" spans="1:8" x14ac:dyDescent="0.2">
      <c r="A452" s="2">
        <v>100451</v>
      </c>
      <c r="B452" s="3">
        <v>46221</v>
      </c>
      <c r="C452" s="2" t="s">
        <v>40</v>
      </c>
      <c r="D452" s="2" t="s">
        <v>12</v>
      </c>
      <c r="E452" s="2" t="s">
        <v>20</v>
      </c>
      <c r="F452" s="2" t="s">
        <v>22</v>
      </c>
      <c r="G452" s="4">
        <v>1415.24</v>
      </c>
      <c r="H452" s="4">
        <v>1500</v>
      </c>
    </row>
    <row r="453" spans="1:8" x14ac:dyDescent="0.2">
      <c r="A453" s="2">
        <v>100452</v>
      </c>
      <c r="B453" s="3">
        <v>46226</v>
      </c>
      <c r="C453" s="2" t="s">
        <v>40</v>
      </c>
      <c r="D453" s="2" t="s">
        <v>16</v>
      </c>
      <c r="E453" s="2" t="s">
        <v>20</v>
      </c>
      <c r="F453" s="2" t="s">
        <v>31</v>
      </c>
      <c r="G453" s="4">
        <v>1706.22</v>
      </c>
      <c r="H453" s="4">
        <v>1500</v>
      </c>
    </row>
    <row r="454" spans="1:8" x14ac:dyDescent="0.2">
      <c r="A454" s="2">
        <v>100453</v>
      </c>
      <c r="B454" s="3">
        <v>46219</v>
      </c>
      <c r="C454" s="2" t="s">
        <v>40</v>
      </c>
      <c r="D454" s="2" t="s">
        <v>12</v>
      </c>
      <c r="E454" s="2" t="s">
        <v>43</v>
      </c>
      <c r="F454" s="2" t="s">
        <v>45</v>
      </c>
      <c r="G454" s="4">
        <v>3571.15</v>
      </c>
      <c r="H454" s="4">
        <v>4000</v>
      </c>
    </row>
    <row r="455" spans="1:8" x14ac:dyDescent="0.2">
      <c r="A455" s="2">
        <v>100454</v>
      </c>
      <c r="B455" s="3">
        <v>46206</v>
      </c>
      <c r="C455" s="2" t="s">
        <v>40</v>
      </c>
      <c r="D455" s="2" t="s">
        <v>9</v>
      </c>
      <c r="E455" s="2" t="s">
        <v>43</v>
      </c>
      <c r="F455" s="2" t="s">
        <v>59</v>
      </c>
      <c r="G455" s="4">
        <v>3271.46</v>
      </c>
      <c r="H455" s="4">
        <v>4000</v>
      </c>
    </row>
    <row r="456" spans="1:8" x14ac:dyDescent="0.2">
      <c r="A456" s="2">
        <v>100455</v>
      </c>
      <c r="B456" s="3">
        <v>46218</v>
      </c>
      <c r="C456" s="2" t="s">
        <v>40</v>
      </c>
      <c r="D456" s="2" t="s">
        <v>9</v>
      </c>
      <c r="E456" s="2" t="s">
        <v>43</v>
      </c>
      <c r="F456" s="2" t="s">
        <v>45</v>
      </c>
      <c r="G456" s="4">
        <v>4797.3599999999997</v>
      </c>
      <c r="H456" s="4">
        <v>4000</v>
      </c>
    </row>
    <row r="457" spans="1:8" x14ac:dyDescent="0.2">
      <c r="A457" s="2">
        <v>100456</v>
      </c>
      <c r="B457" s="3">
        <v>46206</v>
      </c>
      <c r="C457" s="2" t="s">
        <v>40</v>
      </c>
      <c r="D457" s="2" t="s">
        <v>12</v>
      </c>
      <c r="E457" s="2" t="s">
        <v>34</v>
      </c>
      <c r="F457" s="2" t="s">
        <v>38</v>
      </c>
      <c r="G457" s="4">
        <v>1154.6400000000001</v>
      </c>
      <c r="H457" s="4">
        <v>1250</v>
      </c>
    </row>
    <row r="458" spans="1:8" x14ac:dyDescent="0.2">
      <c r="A458" s="2">
        <v>100457</v>
      </c>
      <c r="B458" s="3">
        <v>46213</v>
      </c>
      <c r="C458" s="2" t="s">
        <v>40</v>
      </c>
      <c r="D458" s="2" t="s">
        <v>12</v>
      </c>
      <c r="E458" s="2" t="s">
        <v>34</v>
      </c>
      <c r="F458" s="2" t="s">
        <v>35</v>
      </c>
      <c r="G458" s="4">
        <v>1118.98</v>
      </c>
      <c r="H458" s="4">
        <v>1250</v>
      </c>
    </row>
    <row r="459" spans="1:8" x14ac:dyDescent="0.2">
      <c r="A459" s="2">
        <v>100458</v>
      </c>
      <c r="B459" s="3">
        <v>46226</v>
      </c>
      <c r="C459" s="2" t="s">
        <v>40</v>
      </c>
      <c r="D459" s="2" t="s">
        <v>12</v>
      </c>
      <c r="E459" s="2" t="s">
        <v>34</v>
      </c>
      <c r="F459" s="2" t="s">
        <v>35</v>
      </c>
      <c r="G459" s="4">
        <v>1380.98</v>
      </c>
      <c r="H459" s="4">
        <v>1250</v>
      </c>
    </row>
    <row r="460" spans="1:8" x14ac:dyDescent="0.2">
      <c r="A460" s="2">
        <v>100459</v>
      </c>
      <c r="B460" s="3">
        <v>46207</v>
      </c>
      <c r="C460" s="2" t="s">
        <v>40</v>
      </c>
      <c r="D460" s="2" t="s">
        <v>16</v>
      </c>
      <c r="E460" s="2" t="s">
        <v>34</v>
      </c>
      <c r="F460" s="2" t="s">
        <v>35</v>
      </c>
      <c r="G460" s="4">
        <v>1255.47</v>
      </c>
      <c r="H460" s="4">
        <v>1250</v>
      </c>
    </row>
    <row r="461" spans="1:8" x14ac:dyDescent="0.2">
      <c r="A461" s="2">
        <v>100460</v>
      </c>
      <c r="B461" s="3">
        <v>46204</v>
      </c>
      <c r="C461" s="2" t="s">
        <v>46</v>
      </c>
      <c r="D461" s="2" t="s">
        <v>9</v>
      </c>
      <c r="E461" s="2" t="s">
        <v>41</v>
      </c>
      <c r="F461" s="2" t="s">
        <v>42</v>
      </c>
      <c r="G461" s="4">
        <v>16032.61</v>
      </c>
      <c r="H461" s="4">
        <v>14000</v>
      </c>
    </row>
    <row r="462" spans="1:8" x14ac:dyDescent="0.2">
      <c r="A462" s="2">
        <v>100461</v>
      </c>
      <c r="B462" s="3">
        <v>46218</v>
      </c>
      <c r="C462" s="2" t="s">
        <v>46</v>
      </c>
      <c r="D462" s="2" t="s">
        <v>12</v>
      </c>
      <c r="E462" s="2" t="s">
        <v>41</v>
      </c>
      <c r="F462" s="2" t="s">
        <v>42</v>
      </c>
      <c r="G462" s="4">
        <v>14505.94</v>
      </c>
      <c r="H462" s="4">
        <v>14000</v>
      </c>
    </row>
    <row r="463" spans="1:8" x14ac:dyDescent="0.2">
      <c r="A463" s="2">
        <v>100462</v>
      </c>
      <c r="B463" s="3">
        <v>46206</v>
      </c>
      <c r="C463" s="2" t="s">
        <v>46</v>
      </c>
      <c r="D463" s="2" t="s">
        <v>12</v>
      </c>
      <c r="E463" s="2" t="s">
        <v>41</v>
      </c>
      <c r="F463" s="2" t="s">
        <v>42</v>
      </c>
      <c r="G463" s="4">
        <v>16689.73</v>
      </c>
      <c r="H463" s="4">
        <v>14000</v>
      </c>
    </row>
    <row r="464" spans="1:8" x14ac:dyDescent="0.2">
      <c r="A464" s="2">
        <v>100463</v>
      </c>
      <c r="B464" s="3">
        <v>46220</v>
      </c>
      <c r="C464" s="2" t="s">
        <v>46</v>
      </c>
      <c r="D464" s="2" t="s">
        <v>12</v>
      </c>
      <c r="E464" s="2" t="s">
        <v>47</v>
      </c>
      <c r="F464" s="2" t="s">
        <v>48</v>
      </c>
      <c r="G464" s="4">
        <v>3328.3</v>
      </c>
      <c r="H464" s="4">
        <v>3000</v>
      </c>
    </row>
    <row r="465" spans="1:8" x14ac:dyDescent="0.2">
      <c r="A465" s="2">
        <v>100464</v>
      </c>
      <c r="B465" s="3">
        <v>46206</v>
      </c>
      <c r="C465" s="2" t="s">
        <v>46</v>
      </c>
      <c r="D465" s="2" t="s">
        <v>16</v>
      </c>
      <c r="E465" s="2" t="s">
        <v>47</v>
      </c>
      <c r="F465" s="2" t="s">
        <v>49</v>
      </c>
      <c r="G465" s="4">
        <v>3485.01</v>
      </c>
      <c r="H465" s="4">
        <v>3000</v>
      </c>
    </row>
    <row r="466" spans="1:8" x14ac:dyDescent="0.2">
      <c r="A466" s="2">
        <v>100465</v>
      </c>
      <c r="B466" s="3">
        <v>46218</v>
      </c>
      <c r="C466" s="2" t="s">
        <v>46</v>
      </c>
      <c r="D466" s="2" t="s">
        <v>16</v>
      </c>
      <c r="E466" s="2" t="s">
        <v>47</v>
      </c>
      <c r="F466" s="2" t="s">
        <v>48</v>
      </c>
      <c r="G466" s="4">
        <v>3213.51</v>
      </c>
      <c r="H466" s="4">
        <v>3000</v>
      </c>
    </row>
    <row r="467" spans="1:8" x14ac:dyDescent="0.2">
      <c r="A467" s="2">
        <v>100466</v>
      </c>
      <c r="B467" s="3">
        <v>46208</v>
      </c>
      <c r="C467" s="2" t="s">
        <v>46</v>
      </c>
      <c r="D467" s="2" t="s">
        <v>12</v>
      </c>
      <c r="E467" s="2" t="s">
        <v>47</v>
      </c>
      <c r="F467" s="2" t="s">
        <v>49</v>
      </c>
      <c r="G467" s="4">
        <v>3026.04</v>
      </c>
      <c r="H467" s="4">
        <v>3000</v>
      </c>
    </row>
    <row r="468" spans="1:8" x14ac:dyDescent="0.2">
      <c r="A468" s="2">
        <v>100467</v>
      </c>
      <c r="B468" s="3">
        <v>46231</v>
      </c>
      <c r="C468" s="2" t="s">
        <v>46</v>
      </c>
      <c r="D468" s="2" t="s">
        <v>9</v>
      </c>
      <c r="E468" s="2" t="s">
        <v>47</v>
      </c>
      <c r="F468" s="2" t="s">
        <v>60</v>
      </c>
      <c r="G468" s="4">
        <v>2898.93</v>
      </c>
      <c r="H468" s="4">
        <v>3000</v>
      </c>
    </row>
    <row r="469" spans="1:8" x14ac:dyDescent="0.2">
      <c r="A469" s="2">
        <v>100468</v>
      </c>
      <c r="B469" s="3">
        <v>46209</v>
      </c>
      <c r="C469" s="2" t="s">
        <v>46</v>
      </c>
      <c r="D469" s="2" t="s">
        <v>12</v>
      </c>
      <c r="E469" s="2" t="s">
        <v>20</v>
      </c>
      <c r="F469" s="2" t="s">
        <v>51</v>
      </c>
      <c r="G469" s="4">
        <v>826.51</v>
      </c>
      <c r="H469" s="4">
        <v>1000</v>
      </c>
    </row>
    <row r="470" spans="1:8" x14ac:dyDescent="0.2">
      <c r="A470" s="2">
        <v>100469</v>
      </c>
      <c r="B470" s="3">
        <v>46211</v>
      </c>
      <c r="C470" s="2" t="s">
        <v>46</v>
      </c>
      <c r="D470" s="2" t="s">
        <v>16</v>
      </c>
      <c r="E470" s="2" t="s">
        <v>20</v>
      </c>
      <c r="F470" s="2" t="s">
        <v>28</v>
      </c>
      <c r="G470" s="4">
        <v>1217.3699999999999</v>
      </c>
      <c r="H470" s="4">
        <v>1000</v>
      </c>
    </row>
    <row r="471" spans="1:8" x14ac:dyDescent="0.2">
      <c r="A471" s="2">
        <v>100470</v>
      </c>
      <c r="B471" s="3">
        <v>46224</v>
      </c>
      <c r="C471" s="2" t="s">
        <v>46</v>
      </c>
      <c r="D471" s="2" t="s">
        <v>9</v>
      </c>
      <c r="E471" s="2" t="s">
        <v>34</v>
      </c>
      <c r="F471" s="2" t="s">
        <v>38</v>
      </c>
      <c r="G471" s="4">
        <v>765.89</v>
      </c>
      <c r="H471" s="4">
        <v>875</v>
      </c>
    </row>
    <row r="472" spans="1:8" x14ac:dyDescent="0.2">
      <c r="A472" s="2">
        <v>100471</v>
      </c>
      <c r="B472" s="3">
        <v>46213</v>
      </c>
      <c r="C472" s="2" t="s">
        <v>46</v>
      </c>
      <c r="D472" s="2" t="s">
        <v>16</v>
      </c>
      <c r="E472" s="2" t="s">
        <v>34</v>
      </c>
      <c r="F472" s="2" t="s">
        <v>38</v>
      </c>
      <c r="G472" s="4">
        <v>711.01</v>
      </c>
      <c r="H472" s="4">
        <v>875</v>
      </c>
    </row>
    <row r="473" spans="1:8" x14ac:dyDescent="0.2">
      <c r="A473" s="2">
        <v>100472</v>
      </c>
      <c r="B473" s="3">
        <v>46224</v>
      </c>
      <c r="C473" s="2" t="s">
        <v>46</v>
      </c>
      <c r="D473" s="2" t="s">
        <v>12</v>
      </c>
      <c r="E473" s="2" t="s">
        <v>34</v>
      </c>
      <c r="F473" s="2" t="s">
        <v>35</v>
      </c>
      <c r="G473" s="4">
        <v>697.12</v>
      </c>
      <c r="H473" s="4">
        <v>875</v>
      </c>
    </row>
    <row r="474" spans="1:8" x14ac:dyDescent="0.2">
      <c r="A474" s="2">
        <v>100473</v>
      </c>
      <c r="B474" s="3">
        <v>46208</v>
      </c>
      <c r="C474" s="2" t="s">
        <v>46</v>
      </c>
      <c r="D474" s="2" t="s">
        <v>12</v>
      </c>
      <c r="E474" s="2" t="s">
        <v>34</v>
      </c>
      <c r="F474" s="2" t="s">
        <v>35</v>
      </c>
      <c r="G474" s="4">
        <v>1068.2</v>
      </c>
      <c r="H474" s="4">
        <v>875</v>
      </c>
    </row>
    <row r="475" spans="1:8" x14ac:dyDescent="0.2">
      <c r="A475" s="2">
        <v>100474</v>
      </c>
      <c r="B475" s="3">
        <v>46204</v>
      </c>
      <c r="C475" s="2" t="s">
        <v>52</v>
      </c>
      <c r="D475" s="2" t="s">
        <v>9</v>
      </c>
      <c r="E475" s="2" t="s">
        <v>41</v>
      </c>
      <c r="F475" s="2" t="s">
        <v>42</v>
      </c>
      <c r="G475" s="4">
        <v>11044.87</v>
      </c>
      <c r="H475" s="4">
        <v>9500</v>
      </c>
    </row>
    <row r="476" spans="1:8" x14ac:dyDescent="0.2">
      <c r="A476" s="2">
        <v>100475</v>
      </c>
      <c r="B476" s="3">
        <v>46228</v>
      </c>
      <c r="C476" s="2" t="s">
        <v>52</v>
      </c>
      <c r="D476" s="2" t="s">
        <v>9</v>
      </c>
      <c r="E476" s="2" t="s">
        <v>41</v>
      </c>
      <c r="F476" s="2" t="s">
        <v>42</v>
      </c>
      <c r="G476" s="4">
        <v>11630.6</v>
      </c>
      <c r="H476" s="4">
        <v>9500</v>
      </c>
    </row>
    <row r="477" spans="1:8" x14ac:dyDescent="0.2">
      <c r="A477" s="2">
        <v>100476</v>
      </c>
      <c r="B477" s="3">
        <v>46217</v>
      </c>
      <c r="C477" s="2" t="s">
        <v>52</v>
      </c>
      <c r="D477" s="2" t="s">
        <v>9</v>
      </c>
      <c r="E477" s="2" t="s">
        <v>41</v>
      </c>
      <c r="F477" s="2" t="s">
        <v>42</v>
      </c>
      <c r="G477" s="4">
        <v>10768.06</v>
      </c>
      <c r="H477" s="4">
        <v>9500</v>
      </c>
    </row>
    <row r="478" spans="1:8" x14ac:dyDescent="0.2">
      <c r="A478" s="2">
        <v>100477</v>
      </c>
      <c r="B478" s="3">
        <v>46221</v>
      </c>
      <c r="C478" s="2" t="s">
        <v>52</v>
      </c>
      <c r="D478" s="2" t="s">
        <v>12</v>
      </c>
      <c r="E478" s="2" t="s">
        <v>41</v>
      </c>
      <c r="F478" s="2" t="s">
        <v>42</v>
      </c>
      <c r="G478" s="4">
        <v>11347.74</v>
      </c>
      <c r="H478" s="4">
        <v>9500</v>
      </c>
    </row>
    <row r="479" spans="1:8" x14ac:dyDescent="0.2">
      <c r="A479" s="2">
        <v>100478</v>
      </c>
      <c r="B479" s="3">
        <v>46229</v>
      </c>
      <c r="C479" s="2" t="s">
        <v>52</v>
      </c>
      <c r="D479" s="2" t="s">
        <v>12</v>
      </c>
      <c r="E479" s="2" t="s">
        <v>47</v>
      </c>
      <c r="F479" s="2" t="s">
        <v>48</v>
      </c>
      <c r="G479" s="4">
        <v>1744.88</v>
      </c>
      <c r="H479" s="4">
        <v>2000</v>
      </c>
    </row>
    <row r="480" spans="1:8" x14ac:dyDescent="0.2">
      <c r="A480" s="2">
        <v>100479</v>
      </c>
      <c r="B480" s="3">
        <v>46226</v>
      </c>
      <c r="C480" s="2" t="s">
        <v>52</v>
      </c>
      <c r="D480" s="2" t="s">
        <v>12</v>
      </c>
      <c r="E480" s="2" t="s">
        <v>47</v>
      </c>
      <c r="F480" s="2" t="s">
        <v>60</v>
      </c>
      <c r="G480" s="4">
        <v>1953.54</v>
      </c>
      <c r="H480" s="4">
        <v>2000</v>
      </c>
    </row>
    <row r="481" spans="1:8" x14ac:dyDescent="0.2">
      <c r="A481" s="2">
        <v>100480</v>
      </c>
      <c r="B481" s="3">
        <v>46219</v>
      </c>
      <c r="C481" s="2" t="s">
        <v>52</v>
      </c>
      <c r="D481" s="2" t="s">
        <v>9</v>
      </c>
      <c r="E481" s="2" t="s">
        <v>47</v>
      </c>
      <c r="F481" s="2" t="s">
        <v>48</v>
      </c>
      <c r="G481" s="4">
        <v>1939.61</v>
      </c>
      <c r="H481" s="4">
        <v>2000</v>
      </c>
    </row>
    <row r="482" spans="1:8" x14ac:dyDescent="0.2">
      <c r="A482" s="2">
        <v>100481</v>
      </c>
      <c r="B482" s="3">
        <v>46208</v>
      </c>
      <c r="C482" s="2" t="s">
        <v>52</v>
      </c>
      <c r="D482" s="2" t="s">
        <v>9</v>
      </c>
      <c r="E482" s="2" t="s">
        <v>47</v>
      </c>
      <c r="F482" s="2" t="s">
        <v>50</v>
      </c>
      <c r="G482" s="4">
        <v>1840.19</v>
      </c>
      <c r="H482" s="4">
        <v>2000</v>
      </c>
    </row>
    <row r="483" spans="1:8" x14ac:dyDescent="0.2">
      <c r="A483" s="2">
        <v>100482</v>
      </c>
      <c r="B483" s="3">
        <v>46208</v>
      </c>
      <c r="C483" s="2" t="s">
        <v>52</v>
      </c>
      <c r="D483" s="2" t="s">
        <v>12</v>
      </c>
      <c r="E483" s="2" t="s">
        <v>34</v>
      </c>
      <c r="F483" s="2" t="s">
        <v>36</v>
      </c>
      <c r="G483" s="4">
        <v>2165.9499999999998</v>
      </c>
      <c r="H483" s="4">
        <v>1750</v>
      </c>
    </row>
    <row r="484" spans="1:8" x14ac:dyDescent="0.2">
      <c r="A484" s="2">
        <v>100483</v>
      </c>
      <c r="B484" s="3">
        <v>46218</v>
      </c>
      <c r="C484" s="2" t="s">
        <v>52</v>
      </c>
      <c r="D484" s="2" t="s">
        <v>9</v>
      </c>
      <c r="E484" s="2" t="s">
        <v>34</v>
      </c>
      <c r="F484" s="2" t="s">
        <v>39</v>
      </c>
      <c r="G484" s="4">
        <v>1591.73</v>
      </c>
      <c r="H484" s="4">
        <v>1750</v>
      </c>
    </row>
    <row r="485" spans="1:8" x14ac:dyDescent="0.2">
      <c r="A485" s="2">
        <v>100484</v>
      </c>
      <c r="B485" s="3">
        <v>46208</v>
      </c>
      <c r="C485" s="2" t="s">
        <v>52</v>
      </c>
      <c r="D485" s="2" t="s">
        <v>12</v>
      </c>
      <c r="E485" s="2" t="s">
        <v>34</v>
      </c>
      <c r="F485" s="2" t="s">
        <v>39</v>
      </c>
      <c r="G485" s="4">
        <v>1705.9</v>
      </c>
      <c r="H485" s="4">
        <v>1750</v>
      </c>
    </row>
    <row r="486" spans="1:8" x14ac:dyDescent="0.2">
      <c r="A486" s="2">
        <v>100485</v>
      </c>
      <c r="B486" s="3">
        <v>46216</v>
      </c>
      <c r="C486" s="2" t="s">
        <v>52</v>
      </c>
      <c r="D486" s="2" t="s">
        <v>9</v>
      </c>
      <c r="E486" s="2" t="s">
        <v>34</v>
      </c>
      <c r="F486" s="2" t="s">
        <v>38</v>
      </c>
      <c r="G486" s="4">
        <v>1566.44</v>
      </c>
      <c r="H486" s="4">
        <v>1750</v>
      </c>
    </row>
    <row r="487" spans="1:8" x14ac:dyDescent="0.2">
      <c r="A487" s="2">
        <v>100486</v>
      </c>
      <c r="B487" s="3">
        <v>46209</v>
      </c>
      <c r="C487" s="2" t="s">
        <v>52</v>
      </c>
      <c r="D487" s="2" t="s">
        <v>9</v>
      </c>
      <c r="E487" s="2" t="s">
        <v>20</v>
      </c>
      <c r="F487" s="2" t="s">
        <v>21</v>
      </c>
      <c r="G487" s="4">
        <v>443.28</v>
      </c>
      <c r="H487" s="4">
        <v>360</v>
      </c>
    </row>
    <row r="488" spans="1:8" x14ac:dyDescent="0.2">
      <c r="A488" s="2">
        <v>100487</v>
      </c>
      <c r="B488" s="3">
        <v>46227</v>
      </c>
      <c r="C488" s="2" t="s">
        <v>52</v>
      </c>
      <c r="D488" s="2" t="s">
        <v>12</v>
      </c>
      <c r="E488" s="2" t="s">
        <v>20</v>
      </c>
      <c r="F488" s="2" t="s">
        <v>28</v>
      </c>
      <c r="G488" s="4">
        <v>438.08</v>
      </c>
      <c r="H488" s="4">
        <v>360</v>
      </c>
    </row>
    <row r="489" spans="1:8" x14ac:dyDescent="0.2">
      <c r="A489" s="2">
        <v>100488</v>
      </c>
      <c r="B489" s="3">
        <v>46219</v>
      </c>
      <c r="C489" s="2" t="s">
        <v>52</v>
      </c>
      <c r="D489" s="2" t="s">
        <v>9</v>
      </c>
      <c r="E489" s="2" t="s">
        <v>20</v>
      </c>
      <c r="F489" s="2" t="s">
        <v>30</v>
      </c>
      <c r="G489" s="4">
        <v>407.36</v>
      </c>
      <c r="H489" s="4">
        <v>360</v>
      </c>
    </row>
    <row r="490" spans="1:8" x14ac:dyDescent="0.2">
      <c r="A490" s="2">
        <v>100489</v>
      </c>
      <c r="B490" s="3">
        <v>46213</v>
      </c>
      <c r="C490" s="2" t="s">
        <v>52</v>
      </c>
      <c r="D490" s="2" t="s">
        <v>12</v>
      </c>
      <c r="E490" s="2" t="s">
        <v>20</v>
      </c>
      <c r="F490" s="2" t="s">
        <v>31</v>
      </c>
      <c r="G490" s="4">
        <v>359.78</v>
      </c>
      <c r="H490" s="4">
        <v>360</v>
      </c>
    </row>
    <row r="491" spans="1:8" x14ac:dyDescent="0.2">
      <c r="A491" s="2">
        <v>100490</v>
      </c>
      <c r="B491" s="3">
        <v>46216</v>
      </c>
      <c r="C491" s="2" t="s">
        <v>52</v>
      </c>
      <c r="D491" s="2" t="s">
        <v>9</v>
      </c>
      <c r="E491" s="2" t="s">
        <v>20</v>
      </c>
      <c r="F491" s="2" t="s">
        <v>30</v>
      </c>
      <c r="G491" s="4">
        <v>286.20999999999998</v>
      </c>
      <c r="H491" s="4">
        <v>360</v>
      </c>
    </row>
    <row r="492" spans="1:8" x14ac:dyDescent="0.2">
      <c r="A492" s="2">
        <v>100491</v>
      </c>
      <c r="B492" s="3">
        <v>46236</v>
      </c>
      <c r="C492" s="2" t="s">
        <v>8</v>
      </c>
      <c r="D492" s="2" t="s">
        <v>9</v>
      </c>
      <c r="E492" s="2" t="s">
        <v>10</v>
      </c>
      <c r="F492" s="2" t="s">
        <v>63</v>
      </c>
      <c r="G492" s="4">
        <v>31409.29</v>
      </c>
      <c r="H492" s="4">
        <v>36000</v>
      </c>
    </row>
    <row r="493" spans="1:8" x14ac:dyDescent="0.2">
      <c r="A493" s="2">
        <v>100492</v>
      </c>
      <c r="B493" s="3">
        <v>46256</v>
      </c>
      <c r="C493" s="2" t="s">
        <v>8</v>
      </c>
      <c r="D493" s="2" t="s">
        <v>16</v>
      </c>
      <c r="E493" s="2" t="s">
        <v>10</v>
      </c>
      <c r="F493" s="2" t="s">
        <v>53</v>
      </c>
      <c r="G493" s="4">
        <v>38905.599999999999</v>
      </c>
      <c r="H493" s="4">
        <v>36000</v>
      </c>
    </row>
    <row r="494" spans="1:8" x14ac:dyDescent="0.2">
      <c r="A494" s="2">
        <v>100493</v>
      </c>
      <c r="B494" s="3">
        <v>46248</v>
      </c>
      <c r="C494" s="2" t="s">
        <v>8</v>
      </c>
      <c r="D494" s="2" t="s">
        <v>16</v>
      </c>
      <c r="E494" s="2" t="s">
        <v>10</v>
      </c>
      <c r="F494" s="2" t="s">
        <v>55</v>
      </c>
      <c r="G494" s="4">
        <v>38971.74</v>
      </c>
      <c r="H494" s="4">
        <v>36000</v>
      </c>
    </row>
    <row r="495" spans="1:8" x14ac:dyDescent="0.2">
      <c r="A495" s="2">
        <v>100494</v>
      </c>
      <c r="B495" s="3">
        <v>46246</v>
      </c>
      <c r="C495" s="2" t="s">
        <v>8</v>
      </c>
      <c r="D495" s="2" t="s">
        <v>16</v>
      </c>
      <c r="E495" s="2" t="s">
        <v>10</v>
      </c>
      <c r="F495" s="2" t="s">
        <v>54</v>
      </c>
      <c r="G495" s="4">
        <v>37697.01</v>
      </c>
      <c r="H495" s="4">
        <v>36000</v>
      </c>
    </row>
    <row r="496" spans="1:8" x14ac:dyDescent="0.2">
      <c r="A496" s="2">
        <v>100495</v>
      </c>
      <c r="B496" s="3">
        <v>46246</v>
      </c>
      <c r="C496" s="2" t="s">
        <v>8</v>
      </c>
      <c r="D496" s="2" t="s">
        <v>16</v>
      </c>
      <c r="E496" s="2" t="s">
        <v>10</v>
      </c>
      <c r="F496" s="2" t="s">
        <v>63</v>
      </c>
      <c r="G496" s="4">
        <v>34605.800000000003</v>
      </c>
      <c r="H496" s="4">
        <v>36000</v>
      </c>
    </row>
    <row r="497" spans="1:8" x14ac:dyDescent="0.2">
      <c r="A497" s="2">
        <v>100496</v>
      </c>
      <c r="B497" s="3">
        <v>46259</v>
      </c>
      <c r="C497" s="2" t="s">
        <v>8</v>
      </c>
      <c r="D497" s="2" t="s">
        <v>16</v>
      </c>
      <c r="E497" s="2" t="s">
        <v>14</v>
      </c>
      <c r="F497" s="2" t="s">
        <v>15</v>
      </c>
      <c r="G497" s="4">
        <v>9019.15</v>
      </c>
      <c r="H497" s="4">
        <v>9000</v>
      </c>
    </row>
    <row r="498" spans="1:8" x14ac:dyDescent="0.2">
      <c r="A498" s="2">
        <v>100497</v>
      </c>
      <c r="B498" s="3">
        <v>46238</v>
      </c>
      <c r="C498" s="2" t="s">
        <v>8</v>
      </c>
      <c r="D498" s="2" t="s">
        <v>12</v>
      </c>
      <c r="E498" s="2" t="s">
        <v>14</v>
      </c>
      <c r="F498" s="2" t="s">
        <v>15</v>
      </c>
      <c r="G498" s="4">
        <v>9811.7900000000009</v>
      </c>
      <c r="H498" s="4">
        <v>9000</v>
      </c>
    </row>
    <row r="499" spans="1:8" x14ac:dyDescent="0.2">
      <c r="A499" s="2">
        <v>100498</v>
      </c>
      <c r="B499" s="3">
        <v>46245</v>
      </c>
      <c r="C499" s="2" t="s">
        <v>8</v>
      </c>
      <c r="D499" s="2" t="s">
        <v>16</v>
      </c>
      <c r="E499" s="2" t="s">
        <v>17</v>
      </c>
      <c r="F499" s="2" t="s">
        <v>32</v>
      </c>
      <c r="G499" s="4">
        <v>1873.2</v>
      </c>
      <c r="H499" s="4">
        <v>2000</v>
      </c>
    </row>
    <row r="500" spans="1:8" x14ac:dyDescent="0.2">
      <c r="A500" s="2">
        <v>100499</v>
      </c>
      <c r="B500" s="3">
        <v>46241</v>
      </c>
      <c r="C500" s="2" t="s">
        <v>8</v>
      </c>
      <c r="D500" s="2" t="s">
        <v>16</v>
      </c>
      <c r="E500" s="2" t="s">
        <v>17</v>
      </c>
      <c r="F500" s="2" t="s">
        <v>32</v>
      </c>
      <c r="G500" s="4">
        <v>2254.9699999999998</v>
      </c>
      <c r="H500" s="4">
        <v>2000</v>
      </c>
    </row>
    <row r="501" spans="1:8" x14ac:dyDescent="0.2">
      <c r="A501" s="2">
        <v>100500</v>
      </c>
      <c r="B501" s="3">
        <v>46236</v>
      </c>
      <c r="C501" s="2" t="s">
        <v>8</v>
      </c>
      <c r="D501" s="2" t="s">
        <v>12</v>
      </c>
      <c r="E501" s="2" t="s">
        <v>20</v>
      </c>
      <c r="F501" s="2" t="s">
        <v>51</v>
      </c>
      <c r="G501" s="4">
        <v>385.06</v>
      </c>
      <c r="H501" s="4">
        <v>500</v>
      </c>
    </row>
    <row r="502" spans="1:8" x14ac:dyDescent="0.2">
      <c r="A502" s="2">
        <v>100501</v>
      </c>
      <c r="B502" s="3">
        <v>46250</v>
      </c>
      <c r="C502" s="2" t="s">
        <v>8</v>
      </c>
      <c r="D502" s="2" t="s">
        <v>12</v>
      </c>
      <c r="E502" s="2" t="s">
        <v>20</v>
      </c>
      <c r="F502" s="2" t="s">
        <v>30</v>
      </c>
      <c r="G502" s="4">
        <v>458.26</v>
      </c>
      <c r="H502" s="4">
        <v>500</v>
      </c>
    </row>
    <row r="503" spans="1:8" x14ac:dyDescent="0.2">
      <c r="A503" s="2">
        <v>100502</v>
      </c>
      <c r="B503" s="3">
        <v>46251</v>
      </c>
      <c r="C503" s="2" t="s">
        <v>8</v>
      </c>
      <c r="D503" s="2" t="s">
        <v>16</v>
      </c>
      <c r="E503" s="2" t="s">
        <v>20</v>
      </c>
      <c r="F503" s="2" t="s">
        <v>51</v>
      </c>
      <c r="G503" s="4">
        <v>412.24</v>
      </c>
      <c r="H503" s="4">
        <v>500</v>
      </c>
    </row>
    <row r="504" spans="1:8" x14ac:dyDescent="0.2">
      <c r="A504" s="2">
        <v>100503</v>
      </c>
      <c r="B504" s="3">
        <v>46245</v>
      </c>
      <c r="C504" s="2" t="s">
        <v>8</v>
      </c>
      <c r="D504" s="2" t="s">
        <v>16</v>
      </c>
      <c r="E504" s="2" t="s">
        <v>20</v>
      </c>
      <c r="F504" s="2" t="s">
        <v>51</v>
      </c>
      <c r="G504" s="4">
        <v>607.84</v>
      </c>
      <c r="H504" s="4">
        <v>500</v>
      </c>
    </row>
    <row r="505" spans="1:8" x14ac:dyDescent="0.2">
      <c r="A505" s="2">
        <v>100504</v>
      </c>
      <c r="B505" s="3">
        <v>46258</v>
      </c>
      <c r="C505" s="2" t="s">
        <v>8</v>
      </c>
      <c r="D505" s="2" t="s">
        <v>16</v>
      </c>
      <c r="E505" s="2" t="s">
        <v>20</v>
      </c>
      <c r="F505" s="2" t="s">
        <v>21</v>
      </c>
      <c r="G505" s="4">
        <v>622.65</v>
      </c>
      <c r="H505" s="4">
        <v>500</v>
      </c>
    </row>
    <row r="506" spans="1:8" x14ac:dyDescent="0.2">
      <c r="A506" s="2">
        <v>100505</v>
      </c>
      <c r="B506" s="3">
        <v>46261</v>
      </c>
      <c r="C506" s="2" t="s">
        <v>23</v>
      </c>
      <c r="D506" s="2" t="s">
        <v>12</v>
      </c>
      <c r="E506" s="2" t="s">
        <v>24</v>
      </c>
      <c r="F506" s="2" t="s">
        <v>26</v>
      </c>
      <c r="G506" s="4">
        <v>8034.13</v>
      </c>
      <c r="H506" s="4">
        <v>8750</v>
      </c>
    </row>
    <row r="507" spans="1:8" x14ac:dyDescent="0.2">
      <c r="A507" s="2">
        <v>100506</v>
      </c>
      <c r="B507" s="3">
        <v>46253</v>
      </c>
      <c r="C507" s="2" t="s">
        <v>23</v>
      </c>
      <c r="D507" s="2" t="s">
        <v>12</v>
      </c>
      <c r="E507" s="2" t="s">
        <v>24</v>
      </c>
      <c r="F507" s="2" t="s">
        <v>27</v>
      </c>
      <c r="G507" s="4">
        <v>8705.58</v>
      </c>
      <c r="H507" s="4">
        <v>8750</v>
      </c>
    </row>
    <row r="508" spans="1:8" x14ac:dyDescent="0.2">
      <c r="A508" s="2">
        <v>100507</v>
      </c>
      <c r="B508" s="3">
        <v>46246</v>
      </c>
      <c r="C508" s="2" t="s">
        <v>23</v>
      </c>
      <c r="D508" s="2" t="s">
        <v>16</v>
      </c>
      <c r="E508" s="2" t="s">
        <v>24</v>
      </c>
      <c r="F508" s="2" t="s">
        <v>27</v>
      </c>
      <c r="G508" s="4">
        <v>10131.4</v>
      </c>
      <c r="H508" s="4">
        <v>8750</v>
      </c>
    </row>
    <row r="509" spans="1:8" x14ac:dyDescent="0.2">
      <c r="A509" s="2">
        <v>100508</v>
      </c>
      <c r="B509" s="3">
        <v>46248</v>
      </c>
      <c r="C509" s="2" t="s">
        <v>23</v>
      </c>
      <c r="D509" s="2" t="s">
        <v>12</v>
      </c>
      <c r="E509" s="2" t="s">
        <v>24</v>
      </c>
      <c r="F509" s="2" t="s">
        <v>26</v>
      </c>
      <c r="G509" s="4">
        <v>7042.02</v>
      </c>
      <c r="H509" s="4">
        <v>8750</v>
      </c>
    </row>
    <row r="510" spans="1:8" x14ac:dyDescent="0.2">
      <c r="A510" s="2">
        <v>100509</v>
      </c>
      <c r="B510" s="3">
        <v>46255</v>
      </c>
      <c r="C510" s="2" t="s">
        <v>23</v>
      </c>
      <c r="D510" s="2" t="s">
        <v>12</v>
      </c>
      <c r="E510" s="2" t="s">
        <v>20</v>
      </c>
      <c r="F510" s="2" t="s">
        <v>22</v>
      </c>
      <c r="G510" s="4">
        <v>889.54</v>
      </c>
      <c r="H510" s="4">
        <v>750</v>
      </c>
    </row>
    <row r="511" spans="1:8" x14ac:dyDescent="0.2">
      <c r="A511" s="2">
        <v>100510</v>
      </c>
      <c r="B511" s="3">
        <v>46255</v>
      </c>
      <c r="C511" s="2" t="s">
        <v>23</v>
      </c>
      <c r="D511" s="2" t="s">
        <v>12</v>
      </c>
      <c r="E511" s="2" t="s">
        <v>20</v>
      </c>
      <c r="F511" s="2" t="s">
        <v>21</v>
      </c>
      <c r="G511" s="4">
        <v>740.47</v>
      </c>
      <c r="H511" s="4">
        <v>750</v>
      </c>
    </row>
    <row r="512" spans="1:8" x14ac:dyDescent="0.2">
      <c r="A512" s="2">
        <v>100511</v>
      </c>
      <c r="B512" s="3">
        <v>46258</v>
      </c>
      <c r="C512" s="2" t="s">
        <v>23</v>
      </c>
      <c r="D512" s="2" t="s">
        <v>12</v>
      </c>
      <c r="E512" s="2" t="s">
        <v>20</v>
      </c>
      <c r="F512" s="2" t="s">
        <v>22</v>
      </c>
      <c r="G512" s="4">
        <v>779.11</v>
      </c>
      <c r="H512" s="4">
        <v>750</v>
      </c>
    </row>
    <row r="513" spans="1:8" x14ac:dyDescent="0.2">
      <c r="A513" s="2">
        <v>100512</v>
      </c>
      <c r="B513" s="3">
        <v>46251</v>
      </c>
      <c r="C513" s="2" t="s">
        <v>23</v>
      </c>
      <c r="D513" s="2" t="s">
        <v>12</v>
      </c>
      <c r="E513" s="2" t="s">
        <v>20</v>
      </c>
      <c r="F513" s="2" t="s">
        <v>29</v>
      </c>
      <c r="G513" s="4">
        <v>742.67</v>
      </c>
      <c r="H513" s="4">
        <v>750</v>
      </c>
    </row>
    <row r="514" spans="1:8" x14ac:dyDescent="0.2">
      <c r="A514" s="2">
        <v>100513</v>
      </c>
      <c r="B514" s="3">
        <v>46242</v>
      </c>
      <c r="C514" s="2" t="s">
        <v>23</v>
      </c>
      <c r="D514" s="2" t="s">
        <v>9</v>
      </c>
      <c r="E514" s="2" t="s">
        <v>17</v>
      </c>
      <c r="F514" s="2" t="s">
        <v>18</v>
      </c>
      <c r="G514" s="4">
        <v>580.41999999999996</v>
      </c>
      <c r="H514" s="4">
        <v>500</v>
      </c>
    </row>
    <row r="515" spans="1:8" x14ac:dyDescent="0.2">
      <c r="A515" s="2">
        <v>100514</v>
      </c>
      <c r="B515" s="3">
        <v>46238</v>
      </c>
      <c r="C515" s="2" t="s">
        <v>23</v>
      </c>
      <c r="D515" s="2" t="s">
        <v>12</v>
      </c>
      <c r="E515" s="2" t="s">
        <v>17</v>
      </c>
      <c r="F515" s="2" t="s">
        <v>58</v>
      </c>
      <c r="G515" s="4">
        <v>612.04999999999995</v>
      </c>
      <c r="H515" s="4">
        <v>500</v>
      </c>
    </row>
    <row r="516" spans="1:8" x14ac:dyDescent="0.2">
      <c r="A516" s="2">
        <v>100515</v>
      </c>
      <c r="B516" s="3">
        <v>46248</v>
      </c>
      <c r="C516" s="2" t="s">
        <v>23</v>
      </c>
      <c r="D516" s="2" t="s">
        <v>9</v>
      </c>
      <c r="E516" s="2" t="s">
        <v>17</v>
      </c>
      <c r="F516" s="2" t="s">
        <v>58</v>
      </c>
      <c r="G516" s="4">
        <v>485.26</v>
      </c>
      <c r="H516" s="4">
        <v>500</v>
      </c>
    </row>
    <row r="517" spans="1:8" x14ac:dyDescent="0.2">
      <c r="A517" s="2">
        <v>100516</v>
      </c>
      <c r="B517" s="3">
        <v>46248</v>
      </c>
      <c r="C517" s="2" t="s">
        <v>23</v>
      </c>
      <c r="D517" s="2" t="s">
        <v>16</v>
      </c>
      <c r="E517" s="2" t="s">
        <v>17</v>
      </c>
      <c r="F517" s="2" t="s">
        <v>32</v>
      </c>
      <c r="G517" s="4">
        <v>547.63</v>
      </c>
      <c r="H517" s="4">
        <v>500</v>
      </c>
    </row>
    <row r="518" spans="1:8" x14ac:dyDescent="0.2">
      <c r="A518" s="2">
        <v>100517</v>
      </c>
      <c r="B518" s="3">
        <v>46262</v>
      </c>
      <c r="C518" s="2" t="s">
        <v>23</v>
      </c>
      <c r="D518" s="2" t="s">
        <v>12</v>
      </c>
      <c r="E518" s="2" t="s">
        <v>17</v>
      </c>
      <c r="F518" s="2" t="s">
        <v>18</v>
      </c>
      <c r="G518" s="4">
        <v>605.13</v>
      </c>
      <c r="H518" s="4">
        <v>500</v>
      </c>
    </row>
    <row r="519" spans="1:8" x14ac:dyDescent="0.2">
      <c r="A519" s="2">
        <v>100518</v>
      </c>
      <c r="B519" s="3">
        <v>46245</v>
      </c>
      <c r="C519" s="2" t="s">
        <v>23</v>
      </c>
      <c r="D519" s="2" t="s">
        <v>12</v>
      </c>
      <c r="E519" s="2" t="s">
        <v>34</v>
      </c>
      <c r="F519" s="2" t="s">
        <v>37</v>
      </c>
      <c r="G519" s="4">
        <v>1707.34</v>
      </c>
      <c r="H519" s="4">
        <v>2000</v>
      </c>
    </row>
    <row r="520" spans="1:8" x14ac:dyDescent="0.2">
      <c r="A520" s="2">
        <v>100519</v>
      </c>
      <c r="B520" s="3">
        <v>46240</v>
      </c>
      <c r="C520" s="2" t="s">
        <v>23</v>
      </c>
      <c r="D520" s="2" t="s">
        <v>12</v>
      </c>
      <c r="E520" s="2" t="s">
        <v>34</v>
      </c>
      <c r="F520" s="2" t="s">
        <v>37</v>
      </c>
      <c r="G520" s="4">
        <v>1876.82</v>
      </c>
      <c r="H520" s="4">
        <v>2000</v>
      </c>
    </row>
    <row r="521" spans="1:8" x14ac:dyDescent="0.2">
      <c r="A521" s="2">
        <v>100520</v>
      </c>
      <c r="B521" s="3">
        <v>46246</v>
      </c>
      <c r="C521" s="2" t="s">
        <v>23</v>
      </c>
      <c r="D521" s="2" t="s">
        <v>12</v>
      </c>
      <c r="E521" s="2" t="s">
        <v>34</v>
      </c>
      <c r="F521" s="2" t="s">
        <v>36</v>
      </c>
      <c r="G521" s="4">
        <v>1842.33</v>
      </c>
      <c r="H521" s="4">
        <v>2000</v>
      </c>
    </row>
    <row r="522" spans="1:8" x14ac:dyDescent="0.2">
      <c r="A522" s="2">
        <v>100521</v>
      </c>
      <c r="B522" s="3">
        <v>46243</v>
      </c>
      <c r="C522" s="2" t="s">
        <v>40</v>
      </c>
      <c r="D522" s="2" t="s">
        <v>9</v>
      </c>
      <c r="E522" s="2" t="s">
        <v>41</v>
      </c>
      <c r="F522" s="2" t="s">
        <v>42</v>
      </c>
      <c r="G522" s="4">
        <v>23344.71</v>
      </c>
      <c r="H522" s="4">
        <v>19000</v>
      </c>
    </row>
    <row r="523" spans="1:8" x14ac:dyDescent="0.2">
      <c r="A523" s="2">
        <v>100522</v>
      </c>
      <c r="B523" s="3">
        <v>46244</v>
      </c>
      <c r="C523" s="2" t="s">
        <v>40</v>
      </c>
      <c r="D523" s="2" t="s">
        <v>9</v>
      </c>
      <c r="E523" s="2" t="s">
        <v>41</v>
      </c>
      <c r="F523" s="2" t="s">
        <v>42</v>
      </c>
      <c r="G523" s="4">
        <v>23194.11</v>
      </c>
      <c r="H523" s="4">
        <v>19000</v>
      </c>
    </row>
    <row r="524" spans="1:8" x14ac:dyDescent="0.2">
      <c r="A524" s="2">
        <v>100523</v>
      </c>
      <c r="B524" s="3">
        <v>46257</v>
      </c>
      <c r="C524" s="2" t="s">
        <v>40</v>
      </c>
      <c r="D524" s="2" t="s">
        <v>12</v>
      </c>
      <c r="E524" s="2" t="s">
        <v>41</v>
      </c>
      <c r="F524" s="2" t="s">
        <v>42</v>
      </c>
      <c r="G524" s="4">
        <v>16219.14</v>
      </c>
      <c r="H524" s="4">
        <v>19000</v>
      </c>
    </row>
    <row r="525" spans="1:8" x14ac:dyDescent="0.2">
      <c r="A525" s="2">
        <v>100524</v>
      </c>
      <c r="B525" s="3">
        <v>46252</v>
      </c>
      <c r="C525" s="2" t="s">
        <v>40</v>
      </c>
      <c r="D525" s="2" t="s">
        <v>16</v>
      </c>
      <c r="E525" s="2" t="s">
        <v>41</v>
      </c>
      <c r="F525" s="2" t="s">
        <v>42</v>
      </c>
      <c r="G525" s="4">
        <v>18808.13</v>
      </c>
      <c r="H525" s="4">
        <v>19000</v>
      </c>
    </row>
    <row r="526" spans="1:8" x14ac:dyDescent="0.2">
      <c r="A526" s="2">
        <v>100525</v>
      </c>
      <c r="B526" s="3">
        <v>46256</v>
      </c>
      <c r="C526" s="2" t="s">
        <v>40</v>
      </c>
      <c r="D526" s="2" t="s">
        <v>16</v>
      </c>
      <c r="E526" s="2" t="s">
        <v>41</v>
      </c>
      <c r="F526" s="2" t="s">
        <v>42</v>
      </c>
      <c r="G526" s="4">
        <v>15407.8</v>
      </c>
      <c r="H526" s="4">
        <v>19000</v>
      </c>
    </row>
    <row r="527" spans="1:8" x14ac:dyDescent="0.2">
      <c r="A527" s="2">
        <v>100526</v>
      </c>
      <c r="B527" s="3">
        <v>46260</v>
      </c>
      <c r="C527" s="2" t="s">
        <v>40</v>
      </c>
      <c r="D527" s="2" t="s">
        <v>16</v>
      </c>
      <c r="E527" s="2" t="s">
        <v>20</v>
      </c>
      <c r="F527" s="2" t="s">
        <v>51</v>
      </c>
      <c r="G527" s="4">
        <v>1104.57</v>
      </c>
      <c r="H527" s="4">
        <v>900</v>
      </c>
    </row>
    <row r="528" spans="1:8" x14ac:dyDescent="0.2">
      <c r="A528" s="2">
        <v>100527</v>
      </c>
      <c r="B528" s="3">
        <v>46257</v>
      </c>
      <c r="C528" s="2" t="s">
        <v>40</v>
      </c>
      <c r="D528" s="2" t="s">
        <v>16</v>
      </c>
      <c r="E528" s="2" t="s">
        <v>20</v>
      </c>
      <c r="F528" s="2" t="s">
        <v>22</v>
      </c>
      <c r="G528" s="4">
        <v>693.93</v>
      </c>
      <c r="H528" s="4">
        <v>900</v>
      </c>
    </row>
    <row r="529" spans="1:8" x14ac:dyDescent="0.2">
      <c r="A529" s="2">
        <v>100528</v>
      </c>
      <c r="B529" s="3">
        <v>46255</v>
      </c>
      <c r="C529" s="2" t="s">
        <v>40</v>
      </c>
      <c r="D529" s="2" t="s">
        <v>16</v>
      </c>
      <c r="E529" s="2" t="s">
        <v>20</v>
      </c>
      <c r="F529" s="2" t="s">
        <v>28</v>
      </c>
      <c r="G529" s="4">
        <v>1090.8</v>
      </c>
      <c r="H529" s="4">
        <v>900</v>
      </c>
    </row>
    <row r="530" spans="1:8" x14ac:dyDescent="0.2">
      <c r="A530" s="2">
        <v>100529</v>
      </c>
      <c r="B530" s="3">
        <v>46241</v>
      </c>
      <c r="C530" s="2" t="s">
        <v>40</v>
      </c>
      <c r="D530" s="2" t="s">
        <v>12</v>
      </c>
      <c r="E530" s="2" t="s">
        <v>20</v>
      </c>
      <c r="F530" s="2" t="s">
        <v>21</v>
      </c>
      <c r="G530" s="4">
        <v>890.59</v>
      </c>
      <c r="H530" s="4">
        <v>900</v>
      </c>
    </row>
    <row r="531" spans="1:8" x14ac:dyDescent="0.2">
      <c r="A531" s="2">
        <v>100530</v>
      </c>
      <c r="B531" s="3">
        <v>46252</v>
      </c>
      <c r="C531" s="2" t="s">
        <v>40</v>
      </c>
      <c r="D531" s="2" t="s">
        <v>12</v>
      </c>
      <c r="E531" s="2" t="s">
        <v>20</v>
      </c>
      <c r="F531" s="2" t="s">
        <v>29</v>
      </c>
      <c r="G531" s="4">
        <v>797.01</v>
      </c>
      <c r="H531" s="4">
        <v>900</v>
      </c>
    </row>
    <row r="532" spans="1:8" x14ac:dyDescent="0.2">
      <c r="A532" s="2">
        <v>100531</v>
      </c>
      <c r="B532" s="3">
        <v>46258</v>
      </c>
      <c r="C532" s="2" t="s">
        <v>40</v>
      </c>
      <c r="D532" s="2" t="s">
        <v>9</v>
      </c>
      <c r="E532" s="2" t="s">
        <v>43</v>
      </c>
      <c r="F532" s="2" t="s">
        <v>44</v>
      </c>
      <c r="G532" s="4">
        <v>2413.84</v>
      </c>
      <c r="H532" s="4">
        <v>3000</v>
      </c>
    </row>
    <row r="533" spans="1:8" x14ac:dyDescent="0.2">
      <c r="A533" s="2">
        <v>100532</v>
      </c>
      <c r="B533" s="3">
        <v>46256</v>
      </c>
      <c r="C533" s="2" t="s">
        <v>40</v>
      </c>
      <c r="D533" s="2" t="s">
        <v>9</v>
      </c>
      <c r="E533" s="2" t="s">
        <v>43</v>
      </c>
      <c r="F533" s="2" t="s">
        <v>44</v>
      </c>
      <c r="G533" s="4">
        <v>2613.69</v>
      </c>
      <c r="H533" s="4">
        <v>3000</v>
      </c>
    </row>
    <row r="534" spans="1:8" x14ac:dyDescent="0.2">
      <c r="A534" s="2">
        <v>100533</v>
      </c>
      <c r="B534" s="3">
        <v>46236</v>
      </c>
      <c r="C534" s="2" t="s">
        <v>40</v>
      </c>
      <c r="D534" s="2" t="s">
        <v>9</v>
      </c>
      <c r="E534" s="2" t="s">
        <v>43</v>
      </c>
      <c r="F534" s="2" t="s">
        <v>45</v>
      </c>
      <c r="G534" s="4">
        <v>3206.92</v>
      </c>
      <c r="H534" s="4">
        <v>3000</v>
      </c>
    </row>
    <row r="535" spans="1:8" x14ac:dyDescent="0.2">
      <c r="A535" s="2">
        <v>100534</v>
      </c>
      <c r="B535" s="3">
        <v>46250</v>
      </c>
      <c r="C535" s="2" t="s">
        <v>40</v>
      </c>
      <c r="D535" s="2" t="s">
        <v>16</v>
      </c>
      <c r="E535" s="2" t="s">
        <v>43</v>
      </c>
      <c r="F535" s="2" t="s">
        <v>45</v>
      </c>
      <c r="G535" s="4">
        <v>2745.44</v>
      </c>
      <c r="H535" s="4">
        <v>3000</v>
      </c>
    </row>
    <row r="536" spans="1:8" x14ac:dyDescent="0.2">
      <c r="A536" s="2">
        <v>100535</v>
      </c>
      <c r="B536" s="3">
        <v>46240</v>
      </c>
      <c r="C536" s="2" t="s">
        <v>40</v>
      </c>
      <c r="D536" s="2" t="s">
        <v>9</v>
      </c>
      <c r="E536" s="2" t="s">
        <v>34</v>
      </c>
      <c r="F536" s="2" t="s">
        <v>37</v>
      </c>
      <c r="G536" s="4">
        <v>2053.77</v>
      </c>
      <c r="H536" s="4">
        <v>1666.67</v>
      </c>
    </row>
    <row r="537" spans="1:8" x14ac:dyDescent="0.2">
      <c r="A537" s="2">
        <v>100536</v>
      </c>
      <c r="B537" s="3">
        <v>46250</v>
      </c>
      <c r="C537" s="2" t="s">
        <v>40</v>
      </c>
      <c r="D537" s="2" t="s">
        <v>12</v>
      </c>
      <c r="E537" s="2" t="s">
        <v>34</v>
      </c>
      <c r="F537" s="2" t="s">
        <v>37</v>
      </c>
      <c r="G537" s="4">
        <v>2029.19</v>
      </c>
      <c r="H537" s="4">
        <v>1666.67</v>
      </c>
    </row>
    <row r="538" spans="1:8" x14ac:dyDescent="0.2">
      <c r="A538" s="2">
        <v>100537</v>
      </c>
      <c r="B538" s="3">
        <v>46244</v>
      </c>
      <c r="C538" s="2" t="s">
        <v>40</v>
      </c>
      <c r="D538" s="2" t="s">
        <v>12</v>
      </c>
      <c r="E538" s="2" t="s">
        <v>34</v>
      </c>
      <c r="F538" s="2" t="s">
        <v>36</v>
      </c>
      <c r="G538" s="4">
        <v>1416.21</v>
      </c>
      <c r="H538" s="4">
        <v>1666.67</v>
      </c>
    </row>
    <row r="539" spans="1:8" x14ac:dyDescent="0.2">
      <c r="A539" s="2">
        <v>100538</v>
      </c>
      <c r="B539" s="3">
        <v>46259</v>
      </c>
      <c r="C539" s="2" t="s">
        <v>46</v>
      </c>
      <c r="D539" s="2" t="s">
        <v>12</v>
      </c>
      <c r="E539" s="2" t="s">
        <v>41</v>
      </c>
      <c r="F539" s="2" t="s">
        <v>42</v>
      </c>
      <c r="G539" s="4">
        <v>8185.6</v>
      </c>
      <c r="H539" s="4">
        <v>10500</v>
      </c>
    </row>
    <row r="540" spans="1:8" x14ac:dyDescent="0.2">
      <c r="A540" s="2">
        <v>100539</v>
      </c>
      <c r="B540" s="3">
        <v>46252</v>
      </c>
      <c r="C540" s="2" t="s">
        <v>46</v>
      </c>
      <c r="D540" s="2" t="s">
        <v>12</v>
      </c>
      <c r="E540" s="2" t="s">
        <v>41</v>
      </c>
      <c r="F540" s="2" t="s">
        <v>42</v>
      </c>
      <c r="G540" s="4">
        <v>10889.2</v>
      </c>
      <c r="H540" s="4">
        <v>10500</v>
      </c>
    </row>
    <row r="541" spans="1:8" x14ac:dyDescent="0.2">
      <c r="A541" s="2">
        <v>100540</v>
      </c>
      <c r="B541" s="3">
        <v>46261</v>
      </c>
      <c r="C541" s="2" t="s">
        <v>46</v>
      </c>
      <c r="D541" s="2" t="s">
        <v>9</v>
      </c>
      <c r="E541" s="2" t="s">
        <v>41</v>
      </c>
      <c r="F541" s="2" t="s">
        <v>42</v>
      </c>
      <c r="G541" s="4">
        <v>10068.9</v>
      </c>
      <c r="H541" s="4">
        <v>10500</v>
      </c>
    </row>
    <row r="542" spans="1:8" x14ac:dyDescent="0.2">
      <c r="A542" s="2">
        <v>100541</v>
      </c>
      <c r="B542" s="3">
        <v>46247</v>
      </c>
      <c r="C542" s="2" t="s">
        <v>46</v>
      </c>
      <c r="D542" s="2" t="s">
        <v>9</v>
      </c>
      <c r="E542" s="2" t="s">
        <v>41</v>
      </c>
      <c r="F542" s="2" t="s">
        <v>42</v>
      </c>
      <c r="G542" s="4">
        <v>13110.15</v>
      </c>
      <c r="H542" s="4">
        <v>10500</v>
      </c>
    </row>
    <row r="543" spans="1:8" x14ac:dyDescent="0.2">
      <c r="A543" s="2">
        <v>100542</v>
      </c>
      <c r="B543" s="3">
        <v>46244</v>
      </c>
      <c r="C543" s="2" t="s">
        <v>46</v>
      </c>
      <c r="D543" s="2" t="s">
        <v>12</v>
      </c>
      <c r="E543" s="2" t="s">
        <v>47</v>
      </c>
      <c r="F543" s="2" t="s">
        <v>60</v>
      </c>
      <c r="G543" s="4">
        <v>6155.33</v>
      </c>
      <c r="H543" s="4">
        <v>5000</v>
      </c>
    </row>
    <row r="544" spans="1:8" x14ac:dyDescent="0.2">
      <c r="A544" s="2">
        <v>100543</v>
      </c>
      <c r="B544" s="3">
        <v>46254</v>
      </c>
      <c r="C544" s="2" t="s">
        <v>46</v>
      </c>
      <c r="D544" s="2" t="s">
        <v>9</v>
      </c>
      <c r="E544" s="2" t="s">
        <v>47</v>
      </c>
      <c r="F544" s="2" t="s">
        <v>60</v>
      </c>
      <c r="G544" s="4">
        <v>4495.9799999999996</v>
      </c>
      <c r="H544" s="4">
        <v>5000</v>
      </c>
    </row>
    <row r="545" spans="1:8" x14ac:dyDescent="0.2">
      <c r="A545" s="2">
        <v>100544</v>
      </c>
      <c r="B545" s="3">
        <v>46255</v>
      </c>
      <c r="C545" s="2" t="s">
        <v>46</v>
      </c>
      <c r="D545" s="2" t="s">
        <v>16</v>
      </c>
      <c r="E545" s="2" t="s">
        <v>47</v>
      </c>
      <c r="F545" s="2" t="s">
        <v>48</v>
      </c>
      <c r="G545" s="4">
        <v>4461.3999999999996</v>
      </c>
      <c r="H545" s="4">
        <v>5000</v>
      </c>
    </row>
    <row r="546" spans="1:8" x14ac:dyDescent="0.2">
      <c r="A546" s="2">
        <v>100545</v>
      </c>
      <c r="B546" s="3">
        <v>46241</v>
      </c>
      <c r="C546" s="2" t="s">
        <v>46</v>
      </c>
      <c r="D546" s="2" t="s">
        <v>12</v>
      </c>
      <c r="E546" s="2" t="s">
        <v>20</v>
      </c>
      <c r="F546" s="2" t="s">
        <v>21</v>
      </c>
      <c r="G546" s="4">
        <v>656.01</v>
      </c>
      <c r="H546" s="4">
        <v>666.67</v>
      </c>
    </row>
    <row r="547" spans="1:8" x14ac:dyDescent="0.2">
      <c r="A547" s="2">
        <v>100546</v>
      </c>
      <c r="B547" s="3">
        <v>46258</v>
      </c>
      <c r="C547" s="2" t="s">
        <v>46</v>
      </c>
      <c r="D547" s="2" t="s">
        <v>9</v>
      </c>
      <c r="E547" s="2" t="s">
        <v>20</v>
      </c>
      <c r="F547" s="2" t="s">
        <v>31</v>
      </c>
      <c r="G547" s="4">
        <v>610.23</v>
      </c>
      <c r="H547" s="4">
        <v>666.67</v>
      </c>
    </row>
    <row r="548" spans="1:8" x14ac:dyDescent="0.2">
      <c r="A548" s="2">
        <v>100547</v>
      </c>
      <c r="B548" s="3">
        <v>46240</v>
      </c>
      <c r="C548" s="2" t="s">
        <v>46</v>
      </c>
      <c r="D548" s="2" t="s">
        <v>12</v>
      </c>
      <c r="E548" s="2" t="s">
        <v>20</v>
      </c>
      <c r="F548" s="2" t="s">
        <v>22</v>
      </c>
      <c r="G548" s="4">
        <v>585.75</v>
      </c>
      <c r="H548" s="4">
        <v>666.67</v>
      </c>
    </row>
    <row r="549" spans="1:8" x14ac:dyDescent="0.2">
      <c r="A549" s="2">
        <v>100548</v>
      </c>
      <c r="B549" s="3">
        <v>46259</v>
      </c>
      <c r="C549" s="2" t="s">
        <v>46</v>
      </c>
      <c r="D549" s="2" t="s">
        <v>16</v>
      </c>
      <c r="E549" s="2" t="s">
        <v>34</v>
      </c>
      <c r="F549" s="2" t="s">
        <v>35</v>
      </c>
      <c r="G549" s="4">
        <v>904.65</v>
      </c>
      <c r="H549" s="4">
        <v>875</v>
      </c>
    </row>
    <row r="550" spans="1:8" x14ac:dyDescent="0.2">
      <c r="A550" s="2">
        <v>100549</v>
      </c>
      <c r="B550" s="3">
        <v>46255</v>
      </c>
      <c r="C550" s="2" t="s">
        <v>46</v>
      </c>
      <c r="D550" s="2" t="s">
        <v>9</v>
      </c>
      <c r="E550" s="2" t="s">
        <v>34</v>
      </c>
      <c r="F550" s="2" t="s">
        <v>37</v>
      </c>
      <c r="G550" s="4">
        <v>923.54</v>
      </c>
      <c r="H550" s="4">
        <v>875</v>
      </c>
    </row>
    <row r="551" spans="1:8" x14ac:dyDescent="0.2">
      <c r="A551" s="2">
        <v>100550</v>
      </c>
      <c r="B551" s="3">
        <v>46237</v>
      </c>
      <c r="C551" s="2" t="s">
        <v>46</v>
      </c>
      <c r="D551" s="2" t="s">
        <v>16</v>
      </c>
      <c r="E551" s="2" t="s">
        <v>34</v>
      </c>
      <c r="F551" s="2" t="s">
        <v>37</v>
      </c>
      <c r="G551" s="4">
        <v>881.69</v>
      </c>
      <c r="H551" s="4">
        <v>875</v>
      </c>
    </row>
    <row r="552" spans="1:8" x14ac:dyDescent="0.2">
      <c r="A552" s="2">
        <v>100551</v>
      </c>
      <c r="B552" s="3">
        <v>46239</v>
      </c>
      <c r="C552" s="2" t="s">
        <v>46</v>
      </c>
      <c r="D552" s="2" t="s">
        <v>12</v>
      </c>
      <c r="E552" s="2" t="s">
        <v>34</v>
      </c>
      <c r="F552" s="2" t="s">
        <v>37</v>
      </c>
      <c r="G552" s="4">
        <v>697.98</v>
      </c>
      <c r="H552" s="4">
        <v>875</v>
      </c>
    </row>
    <row r="553" spans="1:8" x14ac:dyDescent="0.2">
      <c r="A553" s="2">
        <v>100552</v>
      </c>
      <c r="B553" s="3">
        <v>46247</v>
      </c>
      <c r="C553" s="2" t="s">
        <v>52</v>
      </c>
      <c r="D553" s="2" t="s">
        <v>9</v>
      </c>
      <c r="E553" s="2" t="s">
        <v>41</v>
      </c>
      <c r="F553" s="2" t="s">
        <v>42</v>
      </c>
      <c r="G553" s="4">
        <v>7157.44</v>
      </c>
      <c r="H553" s="4">
        <v>9500</v>
      </c>
    </row>
    <row r="554" spans="1:8" x14ac:dyDescent="0.2">
      <c r="A554" s="2">
        <v>100553</v>
      </c>
      <c r="B554" s="3">
        <v>46245</v>
      </c>
      <c r="C554" s="2" t="s">
        <v>52</v>
      </c>
      <c r="D554" s="2" t="s">
        <v>12</v>
      </c>
      <c r="E554" s="2" t="s">
        <v>41</v>
      </c>
      <c r="F554" s="2" t="s">
        <v>42</v>
      </c>
      <c r="G554" s="4">
        <v>10705.34</v>
      </c>
      <c r="H554" s="4">
        <v>9500</v>
      </c>
    </row>
    <row r="555" spans="1:8" x14ac:dyDescent="0.2">
      <c r="A555" s="2">
        <v>100554</v>
      </c>
      <c r="B555" s="3">
        <v>46246</v>
      </c>
      <c r="C555" s="2" t="s">
        <v>52</v>
      </c>
      <c r="D555" s="2" t="s">
        <v>9</v>
      </c>
      <c r="E555" s="2" t="s">
        <v>41</v>
      </c>
      <c r="F555" s="2" t="s">
        <v>42</v>
      </c>
      <c r="G555" s="4">
        <v>8367.3799999999992</v>
      </c>
      <c r="H555" s="4">
        <v>9500</v>
      </c>
    </row>
    <row r="556" spans="1:8" x14ac:dyDescent="0.2">
      <c r="A556" s="2">
        <v>100555</v>
      </c>
      <c r="B556" s="3">
        <v>46249</v>
      </c>
      <c r="C556" s="2" t="s">
        <v>52</v>
      </c>
      <c r="D556" s="2" t="s">
        <v>9</v>
      </c>
      <c r="E556" s="2" t="s">
        <v>41</v>
      </c>
      <c r="F556" s="2" t="s">
        <v>42</v>
      </c>
      <c r="G556" s="4">
        <v>10296.98</v>
      </c>
      <c r="H556" s="4">
        <v>9500</v>
      </c>
    </row>
    <row r="557" spans="1:8" x14ac:dyDescent="0.2">
      <c r="A557" s="2">
        <v>100556</v>
      </c>
      <c r="B557" s="3">
        <v>46257</v>
      </c>
      <c r="C557" s="2" t="s">
        <v>52</v>
      </c>
      <c r="D557" s="2" t="s">
        <v>12</v>
      </c>
      <c r="E557" s="2" t="s">
        <v>47</v>
      </c>
      <c r="F557" s="2" t="s">
        <v>50</v>
      </c>
      <c r="G557" s="4">
        <v>2914.76</v>
      </c>
      <c r="H557" s="4">
        <v>2666.67</v>
      </c>
    </row>
    <row r="558" spans="1:8" x14ac:dyDescent="0.2">
      <c r="A558" s="2">
        <v>100557</v>
      </c>
      <c r="B558" s="3">
        <v>46244</v>
      </c>
      <c r="C558" s="2" t="s">
        <v>52</v>
      </c>
      <c r="D558" s="2" t="s">
        <v>9</v>
      </c>
      <c r="E558" s="2" t="s">
        <v>47</v>
      </c>
      <c r="F558" s="2" t="s">
        <v>50</v>
      </c>
      <c r="G558" s="4">
        <v>2851.62</v>
      </c>
      <c r="H558" s="4">
        <v>2666.67</v>
      </c>
    </row>
    <row r="559" spans="1:8" x14ac:dyDescent="0.2">
      <c r="A559" s="2">
        <v>100558</v>
      </c>
      <c r="B559" s="3">
        <v>46239</v>
      </c>
      <c r="C559" s="2" t="s">
        <v>52</v>
      </c>
      <c r="D559" s="2" t="s">
        <v>9</v>
      </c>
      <c r="E559" s="2" t="s">
        <v>47</v>
      </c>
      <c r="F559" s="2" t="s">
        <v>48</v>
      </c>
      <c r="G559" s="4">
        <v>2292.17</v>
      </c>
      <c r="H559" s="4">
        <v>2666.67</v>
      </c>
    </row>
    <row r="560" spans="1:8" x14ac:dyDescent="0.2">
      <c r="A560" s="2">
        <v>100559</v>
      </c>
      <c r="B560" s="3">
        <v>46254</v>
      </c>
      <c r="C560" s="2" t="s">
        <v>52</v>
      </c>
      <c r="D560" s="2" t="s">
        <v>12</v>
      </c>
      <c r="E560" s="2" t="s">
        <v>34</v>
      </c>
      <c r="F560" s="2" t="s">
        <v>36</v>
      </c>
      <c r="G560" s="4">
        <v>2622.36</v>
      </c>
      <c r="H560" s="4">
        <v>2333.33</v>
      </c>
    </row>
    <row r="561" spans="1:8" x14ac:dyDescent="0.2">
      <c r="A561" s="2">
        <v>100560</v>
      </c>
      <c r="B561" s="3">
        <v>46250</v>
      </c>
      <c r="C561" s="2" t="s">
        <v>52</v>
      </c>
      <c r="D561" s="2" t="s">
        <v>12</v>
      </c>
      <c r="E561" s="2" t="s">
        <v>34</v>
      </c>
      <c r="F561" s="2" t="s">
        <v>38</v>
      </c>
      <c r="G561" s="4">
        <v>2568.9299999999998</v>
      </c>
      <c r="H561" s="4">
        <v>2333.33</v>
      </c>
    </row>
    <row r="562" spans="1:8" x14ac:dyDescent="0.2">
      <c r="A562" s="2">
        <v>100561</v>
      </c>
      <c r="B562" s="3">
        <v>46256</v>
      </c>
      <c r="C562" s="2" t="s">
        <v>52</v>
      </c>
      <c r="D562" s="2" t="s">
        <v>9</v>
      </c>
      <c r="E562" s="2" t="s">
        <v>34</v>
      </c>
      <c r="F562" s="2" t="s">
        <v>38</v>
      </c>
      <c r="G562" s="4">
        <v>2638.84</v>
      </c>
      <c r="H562" s="4">
        <v>2333.33</v>
      </c>
    </row>
    <row r="563" spans="1:8" x14ac:dyDescent="0.2">
      <c r="A563" s="2">
        <v>100562</v>
      </c>
      <c r="B563" s="3">
        <v>46246</v>
      </c>
      <c r="C563" s="2" t="s">
        <v>52</v>
      </c>
      <c r="D563" s="2" t="s">
        <v>12</v>
      </c>
      <c r="E563" s="2" t="s">
        <v>20</v>
      </c>
      <c r="F563" s="2" t="s">
        <v>22</v>
      </c>
      <c r="G563" s="4">
        <v>912.68</v>
      </c>
      <c r="H563" s="4">
        <v>900</v>
      </c>
    </row>
    <row r="564" spans="1:8" x14ac:dyDescent="0.2">
      <c r="A564" s="2">
        <v>100563</v>
      </c>
      <c r="B564" s="3">
        <v>46252</v>
      </c>
      <c r="C564" s="2" t="s">
        <v>52</v>
      </c>
      <c r="D564" s="2" t="s">
        <v>9</v>
      </c>
      <c r="E564" s="2" t="s">
        <v>20</v>
      </c>
      <c r="F564" s="2" t="s">
        <v>30</v>
      </c>
      <c r="G564" s="4">
        <v>702.79</v>
      </c>
      <c r="H564" s="4">
        <v>900</v>
      </c>
    </row>
    <row r="565" spans="1:8" x14ac:dyDescent="0.2">
      <c r="A565" s="2">
        <v>100564</v>
      </c>
      <c r="B565" s="3">
        <v>46293</v>
      </c>
      <c r="C565" s="2" t="s">
        <v>8</v>
      </c>
      <c r="D565" s="2" t="s">
        <v>12</v>
      </c>
      <c r="E565" s="2" t="s">
        <v>10</v>
      </c>
      <c r="F565" s="2" t="s">
        <v>53</v>
      </c>
      <c r="G565" s="4">
        <v>55936.11</v>
      </c>
      <c r="H565" s="4">
        <v>60000</v>
      </c>
    </row>
    <row r="566" spans="1:8" x14ac:dyDescent="0.2">
      <c r="A566" s="2">
        <v>100565</v>
      </c>
      <c r="B566" s="3">
        <v>46281</v>
      </c>
      <c r="C566" s="2" t="s">
        <v>8</v>
      </c>
      <c r="D566" s="2" t="s">
        <v>9</v>
      </c>
      <c r="E566" s="2" t="s">
        <v>10</v>
      </c>
      <c r="F566" s="2" t="s">
        <v>11</v>
      </c>
      <c r="G566" s="4">
        <v>72507.539999999994</v>
      </c>
      <c r="H566" s="4">
        <v>60000</v>
      </c>
    </row>
    <row r="567" spans="1:8" x14ac:dyDescent="0.2">
      <c r="A567" s="2">
        <v>100566</v>
      </c>
      <c r="B567" s="3">
        <v>46270</v>
      </c>
      <c r="C567" s="2" t="s">
        <v>8</v>
      </c>
      <c r="D567" s="2" t="s">
        <v>12</v>
      </c>
      <c r="E567" s="2" t="s">
        <v>10</v>
      </c>
      <c r="F567" s="2" t="s">
        <v>13</v>
      </c>
      <c r="G567" s="4">
        <v>52669.07</v>
      </c>
      <c r="H567" s="4">
        <v>60000</v>
      </c>
    </row>
    <row r="568" spans="1:8" x14ac:dyDescent="0.2">
      <c r="A568" s="2">
        <v>100567</v>
      </c>
      <c r="B568" s="3">
        <v>46280</v>
      </c>
      <c r="C568" s="2" t="s">
        <v>8</v>
      </c>
      <c r="D568" s="2" t="s">
        <v>12</v>
      </c>
      <c r="E568" s="2" t="s">
        <v>14</v>
      </c>
      <c r="F568" s="2" t="s">
        <v>15</v>
      </c>
      <c r="G568" s="4">
        <v>2803.93</v>
      </c>
      <c r="H568" s="4">
        <v>3600</v>
      </c>
    </row>
    <row r="569" spans="1:8" x14ac:dyDescent="0.2">
      <c r="A569" s="2">
        <v>100568</v>
      </c>
      <c r="B569" s="3">
        <v>46274</v>
      </c>
      <c r="C569" s="2" t="s">
        <v>8</v>
      </c>
      <c r="D569" s="2" t="s">
        <v>12</v>
      </c>
      <c r="E569" s="2" t="s">
        <v>14</v>
      </c>
      <c r="F569" s="2" t="s">
        <v>15</v>
      </c>
      <c r="G569" s="4">
        <v>2739.19</v>
      </c>
      <c r="H569" s="4">
        <v>3600</v>
      </c>
    </row>
    <row r="570" spans="1:8" x14ac:dyDescent="0.2">
      <c r="A570" s="2">
        <v>100569</v>
      </c>
      <c r="B570" s="3">
        <v>46268</v>
      </c>
      <c r="C570" s="2" t="s">
        <v>8</v>
      </c>
      <c r="D570" s="2" t="s">
        <v>12</v>
      </c>
      <c r="E570" s="2" t="s">
        <v>14</v>
      </c>
      <c r="F570" s="2" t="s">
        <v>15</v>
      </c>
      <c r="G570" s="4">
        <v>3092.22</v>
      </c>
      <c r="H570" s="4">
        <v>3600</v>
      </c>
    </row>
    <row r="571" spans="1:8" x14ac:dyDescent="0.2">
      <c r="A571" s="2">
        <v>100570</v>
      </c>
      <c r="B571" s="3">
        <v>46268</v>
      </c>
      <c r="C571" s="2" t="s">
        <v>8</v>
      </c>
      <c r="D571" s="2" t="s">
        <v>16</v>
      </c>
      <c r="E571" s="2" t="s">
        <v>14</v>
      </c>
      <c r="F571" s="2" t="s">
        <v>15</v>
      </c>
      <c r="G571" s="4">
        <v>3320.15</v>
      </c>
      <c r="H571" s="4">
        <v>3600</v>
      </c>
    </row>
    <row r="572" spans="1:8" x14ac:dyDescent="0.2">
      <c r="A572" s="2">
        <v>100571</v>
      </c>
      <c r="B572" s="3">
        <v>46281</v>
      </c>
      <c r="C572" s="2" t="s">
        <v>8</v>
      </c>
      <c r="D572" s="2" t="s">
        <v>9</v>
      </c>
      <c r="E572" s="2" t="s">
        <v>14</v>
      </c>
      <c r="F572" s="2" t="s">
        <v>15</v>
      </c>
      <c r="G572" s="4">
        <v>4475.05</v>
      </c>
      <c r="H572" s="4">
        <v>3600</v>
      </c>
    </row>
    <row r="573" spans="1:8" x14ac:dyDescent="0.2">
      <c r="A573" s="2">
        <v>100572</v>
      </c>
      <c r="B573" s="3">
        <v>46270</v>
      </c>
      <c r="C573" s="2" t="s">
        <v>8</v>
      </c>
      <c r="D573" s="2" t="s">
        <v>16</v>
      </c>
      <c r="E573" s="2" t="s">
        <v>17</v>
      </c>
      <c r="F573" s="2" t="s">
        <v>33</v>
      </c>
      <c r="G573" s="4">
        <v>839.99</v>
      </c>
      <c r="H573" s="4">
        <v>1000</v>
      </c>
    </row>
    <row r="574" spans="1:8" x14ac:dyDescent="0.2">
      <c r="A574" s="2">
        <v>100573</v>
      </c>
      <c r="B574" s="3">
        <v>46278</v>
      </c>
      <c r="C574" s="2" t="s">
        <v>8</v>
      </c>
      <c r="D574" s="2" t="s">
        <v>16</v>
      </c>
      <c r="E574" s="2" t="s">
        <v>17</v>
      </c>
      <c r="F574" s="2" t="s">
        <v>33</v>
      </c>
      <c r="G574" s="4">
        <v>1246.43</v>
      </c>
      <c r="H574" s="4">
        <v>1000</v>
      </c>
    </row>
    <row r="575" spans="1:8" x14ac:dyDescent="0.2">
      <c r="A575" s="2">
        <v>100574</v>
      </c>
      <c r="B575" s="3">
        <v>46287</v>
      </c>
      <c r="C575" s="2" t="s">
        <v>8</v>
      </c>
      <c r="D575" s="2" t="s">
        <v>16</v>
      </c>
      <c r="E575" s="2" t="s">
        <v>17</v>
      </c>
      <c r="F575" s="2" t="s">
        <v>32</v>
      </c>
      <c r="G575" s="4">
        <v>937.82</v>
      </c>
      <c r="H575" s="4">
        <v>1000</v>
      </c>
    </row>
    <row r="576" spans="1:8" x14ac:dyDescent="0.2">
      <c r="A576" s="2">
        <v>100575</v>
      </c>
      <c r="B576" s="3">
        <v>46277</v>
      </c>
      <c r="C576" s="2" t="s">
        <v>8</v>
      </c>
      <c r="D576" s="2" t="s">
        <v>9</v>
      </c>
      <c r="E576" s="2" t="s">
        <v>17</v>
      </c>
      <c r="F576" s="2" t="s">
        <v>18</v>
      </c>
      <c r="G576" s="4">
        <v>1076.77</v>
      </c>
      <c r="H576" s="4">
        <v>1000</v>
      </c>
    </row>
    <row r="577" spans="1:8" x14ac:dyDescent="0.2">
      <c r="A577" s="2">
        <v>100576</v>
      </c>
      <c r="B577" s="3">
        <v>46270</v>
      </c>
      <c r="C577" s="2" t="s">
        <v>8</v>
      </c>
      <c r="D577" s="2" t="s">
        <v>12</v>
      </c>
      <c r="E577" s="2" t="s">
        <v>20</v>
      </c>
      <c r="F577" s="2" t="s">
        <v>29</v>
      </c>
      <c r="G577" s="4">
        <v>788.77</v>
      </c>
      <c r="H577" s="4">
        <v>833.33</v>
      </c>
    </row>
    <row r="578" spans="1:8" x14ac:dyDescent="0.2">
      <c r="A578" s="2">
        <v>100577</v>
      </c>
      <c r="B578" s="3">
        <v>46290</v>
      </c>
      <c r="C578" s="2" t="s">
        <v>8</v>
      </c>
      <c r="D578" s="2" t="s">
        <v>9</v>
      </c>
      <c r="E578" s="2" t="s">
        <v>20</v>
      </c>
      <c r="F578" s="2" t="s">
        <v>22</v>
      </c>
      <c r="G578" s="4">
        <v>972.84</v>
      </c>
      <c r="H578" s="4">
        <v>833.33</v>
      </c>
    </row>
    <row r="579" spans="1:8" x14ac:dyDescent="0.2">
      <c r="A579" s="2">
        <v>100578</v>
      </c>
      <c r="B579" s="3">
        <v>46289</v>
      </c>
      <c r="C579" s="2" t="s">
        <v>8</v>
      </c>
      <c r="D579" s="2" t="s">
        <v>16</v>
      </c>
      <c r="E579" s="2" t="s">
        <v>20</v>
      </c>
      <c r="F579" s="2" t="s">
        <v>30</v>
      </c>
      <c r="G579" s="4">
        <v>817.92</v>
      </c>
      <c r="H579" s="4">
        <v>833.33</v>
      </c>
    </row>
    <row r="580" spans="1:8" x14ac:dyDescent="0.2">
      <c r="A580" s="2">
        <v>100579</v>
      </c>
      <c r="B580" s="3">
        <v>46273</v>
      </c>
      <c r="C580" s="2" t="s">
        <v>23</v>
      </c>
      <c r="D580" s="2" t="s">
        <v>12</v>
      </c>
      <c r="E580" s="2" t="s">
        <v>24</v>
      </c>
      <c r="F580" s="2" t="s">
        <v>57</v>
      </c>
      <c r="G580" s="4">
        <v>6577.47</v>
      </c>
      <c r="H580" s="4">
        <v>7000</v>
      </c>
    </row>
    <row r="581" spans="1:8" x14ac:dyDescent="0.2">
      <c r="A581" s="2">
        <v>100580</v>
      </c>
      <c r="B581" s="3">
        <v>46274</v>
      </c>
      <c r="C581" s="2" t="s">
        <v>23</v>
      </c>
      <c r="D581" s="2" t="s">
        <v>16</v>
      </c>
      <c r="E581" s="2" t="s">
        <v>24</v>
      </c>
      <c r="F581" s="2" t="s">
        <v>57</v>
      </c>
      <c r="G581" s="4">
        <v>6461.56</v>
      </c>
      <c r="H581" s="4">
        <v>7000</v>
      </c>
    </row>
    <row r="582" spans="1:8" x14ac:dyDescent="0.2">
      <c r="A582" s="2">
        <v>100581</v>
      </c>
      <c r="B582" s="3">
        <v>46267</v>
      </c>
      <c r="C582" s="2" t="s">
        <v>23</v>
      </c>
      <c r="D582" s="2" t="s">
        <v>12</v>
      </c>
      <c r="E582" s="2" t="s">
        <v>24</v>
      </c>
      <c r="F582" s="2" t="s">
        <v>56</v>
      </c>
      <c r="G582" s="4">
        <v>7929.21</v>
      </c>
      <c r="H582" s="4">
        <v>7000</v>
      </c>
    </row>
    <row r="583" spans="1:8" x14ac:dyDescent="0.2">
      <c r="A583" s="2">
        <v>100582</v>
      </c>
      <c r="B583" s="3">
        <v>46266</v>
      </c>
      <c r="C583" s="2" t="s">
        <v>23</v>
      </c>
      <c r="D583" s="2" t="s">
        <v>16</v>
      </c>
      <c r="E583" s="2" t="s">
        <v>24</v>
      </c>
      <c r="F583" s="2" t="s">
        <v>57</v>
      </c>
      <c r="G583" s="4">
        <v>7402.23</v>
      </c>
      <c r="H583" s="4">
        <v>7000</v>
      </c>
    </row>
    <row r="584" spans="1:8" x14ac:dyDescent="0.2">
      <c r="A584" s="2">
        <v>100583</v>
      </c>
      <c r="B584" s="3">
        <v>46285</v>
      </c>
      <c r="C584" s="2" t="s">
        <v>23</v>
      </c>
      <c r="D584" s="2" t="s">
        <v>9</v>
      </c>
      <c r="E584" s="2" t="s">
        <v>24</v>
      </c>
      <c r="F584" s="2" t="s">
        <v>25</v>
      </c>
      <c r="G584" s="4">
        <v>5485.52</v>
      </c>
      <c r="H584" s="4">
        <v>7000</v>
      </c>
    </row>
    <row r="585" spans="1:8" x14ac:dyDescent="0.2">
      <c r="A585" s="2">
        <v>100584</v>
      </c>
      <c r="B585" s="3">
        <v>46293</v>
      </c>
      <c r="C585" s="2" t="s">
        <v>23</v>
      </c>
      <c r="D585" s="2" t="s">
        <v>12</v>
      </c>
      <c r="E585" s="2" t="s">
        <v>20</v>
      </c>
      <c r="F585" s="2" t="s">
        <v>22</v>
      </c>
      <c r="G585" s="4">
        <v>651.61</v>
      </c>
      <c r="H585" s="4">
        <v>600</v>
      </c>
    </row>
    <row r="586" spans="1:8" x14ac:dyDescent="0.2">
      <c r="A586" s="2">
        <v>100585</v>
      </c>
      <c r="B586" s="3">
        <v>46278</v>
      </c>
      <c r="C586" s="2" t="s">
        <v>23</v>
      </c>
      <c r="D586" s="2" t="s">
        <v>9</v>
      </c>
      <c r="E586" s="2" t="s">
        <v>20</v>
      </c>
      <c r="F586" s="2" t="s">
        <v>31</v>
      </c>
      <c r="G586" s="4">
        <v>672.16</v>
      </c>
      <c r="H586" s="4">
        <v>600</v>
      </c>
    </row>
    <row r="587" spans="1:8" x14ac:dyDescent="0.2">
      <c r="A587" s="2">
        <v>100586</v>
      </c>
      <c r="B587" s="3">
        <v>46290</v>
      </c>
      <c r="C587" s="2" t="s">
        <v>23</v>
      </c>
      <c r="D587" s="2" t="s">
        <v>9</v>
      </c>
      <c r="E587" s="2" t="s">
        <v>20</v>
      </c>
      <c r="F587" s="2" t="s">
        <v>21</v>
      </c>
      <c r="G587" s="4">
        <v>611.92999999999995</v>
      </c>
      <c r="H587" s="4">
        <v>600</v>
      </c>
    </row>
    <row r="588" spans="1:8" x14ac:dyDescent="0.2">
      <c r="A588" s="2">
        <v>100587</v>
      </c>
      <c r="B588" s="3">
        <v>46275</v>
      </c>
      <c r="C588" s="2" t="s">
        <v>23</v>
      </c>
      <c r="D588" s="2" t="s">
        <v>9</v>
      </c>
      <c r="E588" s="2" t="s">
        <v>20</v>
      </c>
      <c r="F588" s="2" t="s">
        <v>51</v>
      </c>
      <c r="G588" s="4">
        <v>492.04</v>
      </c>
      <c r="H588" s="4">
        <v>600</v>
      </c>
    </row>
    <row r="589" spans="1:8" x14ac:dyDescent="0.2">
      <c r="A589" s="2">
        <v>100588</v>
      </c>
      <c r="B589" s="3">
        <v>46284</v>
      </c>
      <c r="C589" s="2" t="s">
        <v>23</v>
      </c>
      <c r="D589" s="2" t="s">
        <v>12</v>
      </c>
      <c r="E589" s="2" t="s">
        <v>20</v>
      </c>
      <c r="F589" s="2" t="s">
        <v>30</v>
      </c>
      <c r="G589" s="4">
        <v>622.83000000000004</v>
      </c>
      <c r="H589" s="4">
        <v>600</v>
      </c>
    </row>
    <row r="590" spans="1:8" x14ac:dyDescent="0.2">
      <c r="A590" s="2">
        <v>100589</v>
      </c>
      <c r="B590" s="3">
        <v>46270</v>
      </c>
      <c r="C590" s="2" t="s">
        <v>23</v>
      </c>
      <c r="D590" s="2" t="s">
        <v>9</v>
      </c>
      <c r="E590" s="2" t="s">
        <v>17</v>
      </c>
      <c r="F590" s="2" t="s">
        <v>32</v>
      </c>
      <c r="G590" s="4">
        <v>563.04999999999995</v>
      </c>
      <c r="H590" s="4">
        <v>625</v>
      </c>
    </row>
    <row r="591" spans="1:8" x14ac:dyDescent="0.2">
      <c r="A591" s="2">
        <v>100590</v>
      </c>
      <c r="B591" s="3">
        <v>46274</v>
      </c>
      <c r="C591" s="2" t="s">
        <v>23</v>
      </c>
      <c r="D591" s="2" t="s">
        <v>9</v>
      </c>
      <c r="E591" s="2" t="s">
        <v>17</v>
      </c>
      <c r="F591" s="2" t="s">
        <v>18</v>
      </c>
      <c r="G591" s="4">
        <v>597.99</v>
      </c>
      <c r="H591" s="4">
        <v>625</v>
      </c>
    </row>
    <row r="592" spans="1:8" x14ac:dyDescent="0.2">
      <c r="A592" s="2">
        <v>100591</v>
      </c>
      <c r="B592" s="3">
        <v>46289</v>
      </c>
      <c r="C592" s="2" t="s">
        <v>23</v>
      </c>
      <c r="D592" s="2" t="s">
        <v>12</v>
      </c>
      <c r="E592" s="2" t="s">
        <v>17</v>
      </c>
      <c r="F592" s="2" t="s">
        <v>58</v>
      </c>
      <c r="G592" s="4">
        <v>765.16</v>
      </c>
      <c r="H592" s="4">
        <v>625</v>
      </c>
    </row>
    <row r="593" spans="1:8" x14ac:dyDescent="0.2">
      <c r="A593" s="2">
        <v>100592</v>
      </c>
      <c r="B593" s="3">
        <v>46283</v>
      </c>
      <c r="C593" s="2" t="s">
        <v>23</v>
      </c>
      <c r="D593" s="2" t="s">
        <v>12</v>
      </c>
      <c r="E593" s="2" t="s">
        <v>17</v>
      </c>
      <c r="F593" s="2" t="s">
        <v>33</v>
      </c>
      <c r="G593" s="4">
        <v>680.86</v>
      </c>
      <c r="H593" s="4">
        <v>625</v>
      </c>
    </row>
    <row r="594" spans="1:8" x14ac:dyDescent="0.2">
      <c r="A594" s="2">
        <v>100593</v>
      </c>
      <c r="B594" s="3">
        <v>46287</v>
      </c>
      <c r="C594" s="2" t="s">
        <v>23</v>
      </c>
      <c r="D594" s="2" t="s">
        <v>16</v>
      </c>
      <c r="E594" s="2" t="s">
        <v>34</v>
      </c>
      <c r="F594" s="2" t="s">
        <v>37</v>
      </c>
      <c r="G594" s="4">
        <v>3662.38</v>
      </c>
      <c r="H594" s="4">
        <v>3000</v>
      </c>
    </row>
    <row r="595" spans="1:8" x14ac:dyDescent="0.2">
      <c r="A595" s="2">
        <v>100594</v>
      </c>
      <c r="B595" s="3">
        <v>46279</v>
      </c>
      <c r="C595" s="2" t="s">
        <v>23</v>
      </c>
      <c r="D595" s="2" t="s">
        <v>12</v>
      </c>
      <c r="E595" s="2" t="s">
        <v>34</v>
      </c>
      <c r="F595" s="2" t="s">
        <v>37</v>
      </c>
      <c r="G595" s="4">
        <v>2728.1</v>
      </c>
      <c r="H595" s="4">
        <v>3000</v>
      </c>
    </row>
    <row r="596" spans="1:8" x14ac:dyDescent="0.2">
      <c r="A596" s="2">
        <v>100595</v>
      </c>
      <c r="B596" s="3">
        <v>46290</v>
      </c>
      <c r="C596" s="2" t="s">
        <v>40</v>
      </c>
      <c r="D596" s="2" t="s">
        <v>16</v>
      </c>
      <c r="E596" s="2" t="s">
        <v>41</v>
      </c>
      <c r="F596" s="2" t="s">
        <v>42</v>
      </c>
      <c r="G596" s="4">
        <v>29710.62</v>
      </c>
      <c r="H596" s="4">
        <v>31666.67</v>
      </c>
    </row>
    <row r="597" spans="1:8" x14ac:dyDescent="0.2">
      <c r="A597" s="2">
        <v>100596</v>
      </c>
      <c r="B597" s="3">
        <v>46275</v>
      </c>
      <c r="C597" s="2" t="s">
        <v>40</v>
      </c>
      <c r="D597" s="2" t="s">
        <v>9</v>
      </c>
      <c r="E597" s="2" t="s">
        <v>41</v>
      </c>
      <c r="F597" s="2" t="s">
        <v>42</v>
      </c>
      <c r="G597" s="4">
        <v>37197.9</v>
      </c>
      <c r="H597" s="4">
        <v>31666.67</v>
      </c>
    </row>
    <row r="598" spans="1:8" x14ac:dyDescent="0.2">
      <c r="A598" s="2">
        <v>100597</v>
      </c>
      <c r="B598" s="3">
        <v>46283</v>
      </c>
      <c r="C598" s="2" t="s">
        <v>40</v>
      </c>
      <c r="D598" s="2" t="s">
        <v>16</v>
      </c>
      <c r="E598" s="2" t="s">
        <v>41</v>
      </c>
      <c r="F598" s="2" t="s">
        <v>42</v>
      </c>
      <c r="G598" s="4">
        <v>38233.4</v>
      </c>
      <c r="H598" s="4">
        <v>31666.67</v>
      </c>
    </row>
    <row r="599" spans="1:8" x14ac:dyDescent="0.2">
      <c r="A599" s="2">
        <v>100598</v>
      </c>
      <c r="B599" s="3">
        <v>46278</v>
      </c>
      <c r="C599" s="2" t="s">
        <v>40</v>
      </c>
      <c r="D599" s="2" t="s">
        <v>12</v>
      </c>
      <c r="E599" s="2" t="s">
        <v>20</v>
      </c>
      <c r="F599" s="2" t="s">
        <v>51</v>
      </c>
      <c r="G599" s="4">
        <v>913.5</v>
      </c>
      <c r="H599" s="4">
        <v>900</v>
      </c>
    </row>
    <row r="600" spans="1:8" x14ac:dyDescent="0.2">
      <c r="A600" s="2">
        <v>100599</v>
      </c>
      <c r="B600" s="3">
        <v>46286</v>
      </c>
      <c r="C600" s="2" t="s">
        <v>40</v>
      </c>
      <c r="D600" s="2" t="s">
        <v>16</v>
      </c>
      <c r="E600" s="2" t="s">
        <v>20</v>
      </c>
      <c r="F600" s="2" t="s">
        <v>22</v>
      </c>
      <c r="G600" s="4">
        <v>766.5</v>
      </c>
      <c r="H600" s="4">
        <v>900</v>
      </c>
    </row>
    <row r="601" spans="1:8" x14ac:dyDescent="0.2">
      <c r="A601" s="2">
        <v>100600</v>
      </c>
      <c r="B601" s="3">
        <v>46268</v>
      </c>
      <c r="C601" s="2" t="s">
        <v>40</v>
      </c>
      <c r="D601" s="2" t="s">
        <v>16</v>
      </c>
      <c r="E601" s="2" t="s">
        <v>20</v>
      </c>
      <c r="F601" s="2" t="s">
        <v>30</v>
      </c>
      <c r="G601" s="4">
        <v>1056.21</v>
      </c>
      <c r="H601" s="4">
        <v>900</v>
      </c>
    </row>
    <row r="602" spans="1:8" x14ac:dyDescent="0.2">
      <c r="A602" s="2">
        <v>100601</v>
      </c>
      <c r="B602" s="3">
        <v>46267</v>
      </c>
      <c r="C602" s="2" t="s">
        <v>40</v>
      </c>
      <c r="D602" s="2" t="s">
        <v>12</v>
      </c>
      <c r="E602" s="2" t="s">
        <v>20</v>
      </c>
      <c r="F602" s="2" t="s">
        <v>28</v>
      </c>
      <c r="G602" s="4">
        <v>1048.23</v>
      </c>
      <c r="H602" s="4">
        <v>900</v>
      </c>
    </row>
    <row r="603" spans="1:8" x14ac:dyDescent="0.2">
      <c r="A603" s="2">
        <v>100602</v>
      </c>
      <c r="B603" s="3">
        <v>46285</v>
      </c>
      <c r="C603" s="2" t="s">
        <v>40</v>
      </c>
      <c r="D603" s="2" t="s">
        <v>16</v>
      </c>
      <c r="E603" s="2" t="s">
        <v>20</v>
      </c>
      <c r="F603" s="2" t="s">
        <v>22</v>
      </c>
      <c r="G603" s="4">
        <v>978.15</v>
      </c>
      <c r="H603" s="4">
        <v>900</v>
      </c>
    </row>
    <row r="604" spans="1:8" x14ac:dyDescent="0.2">
      <c r="A604" s="2">
        <v>100603</v>
      </c>
      <c r="B604" s="3">
        <v>46284</v>
      </c>
      <c r="C604" s="2" t="s">
        <v>40</v>
      </c>
      <c r="D604" s="2" t="s">
        <v>9</v>
      </c>
      <c r="E604" s="2" t="s">
        <v>43</v>
      </c>
      <c r="F604" s="2" t="s">
        <v>44</v>
      </c>
      <c r="G604" s="4">
        <v>6913.95</v>
      </c>
      <c r="H604" s="4">
        <v>6000</v>
      </c>
    </row>
    <row r="605" spans="1:8" x14ac:dyDescent="0.2">
      <c r="A605" s="2">
        <v>100604</v>
      </c>
      <c r="B605" s="3">
        <v>46281</v>
      </c>
      <c r="C605" s="2" t="s">
        <v>40</v>
      </c>
      <c r="D605" s="2" t="s">
        <v>12</v>
      </c>
      <c r="E605" s="2" t="s">
        <v>43</v>
      </c>
      <c r="F605" s="2" t="s">
        <v>45</v>
      </c>
      <c r="G605" s="4">
        <v>6176.55</v>
      </c>
      <c r="H605" s="4">
        <v>6000</v>
      </c>
    </row>
    <row r="606" spans="1:8" x14ac:dyDescent="0.2">
      <c r="A606" s="2">
        <v>100605</v>
      </c>
      <c r="B606" s="3">
        <v>46266</v>
      </c>
      <c r="C606" s="2" t="s">
        <v>40</v>
      </c>
      <c r="D606" s="2" t="s">
        <v>16</v>
      </c>
      <c r="E606" s="2" t="s">
        <v>34</v>
      </c>
      <c r="F606" s="2" t="s">
        <v>35</v>
      </c>
      <c r="G606" s="4">
        <v>1535.64</v>
      </c>
      <c r="H606" s="4">
        <v>1250</v>
      </c>
    </row>
    <row r="607" spans="1:8" x14ac:dyDescent="0.2">
      <c r="A607" s="2">
        <v>100606</v>
      </c>
      <c r="B607" s="3">
        <v>46269</v>
      </c>
      <c r="C607" s="2" t="s">
        <v>40</v>
      </c>
      <c r="D607" s="2" t="s">
        <v>9</v>
      </c>
      <c r="E607" s="2" t="s">
        <v>34</v>
      </c>
      <c r="F607" s="2" t="s">
        <v>37</v>
      </c>
      <c r="G607" s="4">
        <v>1538.8</v>
      </c>
      <c r="H607" s="4">
        <v>1250</v>
      </c>
    </row>
    <row r="608" spans="1:8" x14ac:dyDescent="0.2">
      <c r="A608" s="2">
        <v>100607</v>
      </c>
      <c r="B608" s="3">
        <v>46288</v>
      </c>
      <c r="C608" s="2" t="s">
        <v>40</v>
      </c>
      <c r="D608" s="2" t="s">
        <v>9</v>
      </c>
      <c r="E608" s="2" t="s">
        <v>34</v>
      </c>
      <c r="F608" s="2" t="s">
        <v>35</v>
      </c>
      <c r="G608" s="4">
        <v>1372.27</v>
      </c>
      <c r="H608" s="4">
        <v>1250</v>
      </c>
    </row>
    <row r="609" spans="1:8" x14ac:dyDescent="0.2">
      <c r="A609" s="2">
        <v>100608</v>
      </c>
      <c r="B609" s="3">
        <v>46283</v>
      </c>
      <c r="C609" s="2" t="s">
        <v>40</v>
      </c>
      <c r="D609" s="2" t="s">
        <v>16</v>
      </c>
      <c r="E609" s="2" t="s">
        <v>34</v>
      </c>
      <c r="F609" s="2" t="s">
        <v>36</v>
      </c>
      <c r="G609" s="4">
        <v>1509.45</v>
      </c>
      <c r="H609" s="4">
        <v>1250</v>
      </c>
    </row>
    <row r="610" spans="1:8" x14ac:dyDescent="0.2">
      <c r="A610" s="2">
        <v>100609</v>
      </c>
      <c r="B610" s="3">
        <v>46286</v>
      </c>
      <c r="C610" s="2" t="s">
        <v>46</v>
      </c>
      <c r="D610" s="2" t="s">
        <v>16</v>
      </c>
      <c r="E610" s="2" t="s">
        <v>41</v>
      </c>
      <c r="F610" s="2" t="s">
        <v>42</v>
      </c>
      <c r="G610" s="4">
        <v>10322.81</v>
      </c>
      <c r="H610" s="4">
        <v>10500</v>
      </c>
    </row>
    <row r="611" spans="1:8" x14ac:dyDescent="0.2">
      <c r="A611" s="2">
        <v>100610</v>
      </c>
      <c r="B611" s="3">
        <v>46282</v>
      </c>
      <c r="C611" s="2" t="s">
        <v>46</v>
      </c>
      <c r="D611" s="2" t="s">
        <v>16</v>
      </c>
      <c r="E611" s="2" t="s">
        <v>41</v>
      </c>
      <c r="F611" s="2" t="s">
        <v>42</v>
      </c>
      <c r="G611" s="4">
        <v>9248.2000000000007</v>
      </c>
      <c r="H611" s="4">
        <v>10500</v>
      </c>
    </row>
    <row r="612" spans="1:8" x14ac:dyDescent="0.2">
      <c r="A612" s="2">
        <v>100611</v>
      </c>
      <c r="B612" s="3">
        <v>46289</v>
      </c>
      <c r="C612" s="2" t="s">
        <v>46</v>
      </c>
      <c r="D612" s="2" t="s">
        <v>16</v>
      </c>
      <c r="E612" s="2" t="s">
        <v>41</v>
      </c>
      <c r="F612" s="2" t="s">
        <v>42</v>
      </c>
      <c r="G612" s="4">
        <v>8392.69</v>
      </c>
      <c r="H612" s="4">
        <v>10500</v>
      </c>
    </row>
    <row r="613" spans="1:8" x14ac:dyDescent="0.2">
      <c r="A613" s="2">
        <v>100612</v>
      </c>
      <c r="B613" s="3">
        <v>46277</v>
      </c>
      <c r="C613" s="2" t="s">
        <v>46</v>
      </c>
      <c r="D613" s="2" t="s">
        <v>16</v>
      </c>
      <c r="E613" s="2" t="s">
        <v>41</v>
      </c>
      <c r="F613" s="2" t="s">
        <v>42</v>
      </c>
      <c r="G613" s="4">
        <v>12675.24</v>
      </c>
      <c r="H613" s="4">
        <v>10500</v>
      </c>
    </row>
    <row r="614" spans="1:8" x14ac:dyDescent="0.2">
      <c r="A614" s="2">
        <v>100613</v>
      </c>
      <c r="B614" s="3">
        <v>46273</v>
      </c>
      <c r="C614" s="2" t="s">
        <v>46</v>
      </c>
      <c r="D614" s="2" t="s">
        <v>9</v>
      </c>
      <c r="E614" s="2" t="s">
        <v>47</v>
      </c>
      <c r="F614" s="2" t="s">
        <v>49</v>
      </c>
      <c r="G614" s="4">
        <v>3093.79</v>
      </c>
      <c r="H614" s="4">
        <v>3000</v>
      </c>
    </row>
    <row r="615" spans="1:8" x14ac:dyDescent="0.2">
      <c r="A615" s="2">
        <v>100614</v>
      </c>
      <c r="B615" s="3">
        <v>46284</v>
      </c>
      <c r="C615" s="2" t="s">
        <v>46</v>
      </c>
      <c r="D615" s="2" t="s">
        <v>9</v>
      </c>
      <c r="E615" s="2" t="s">
        <v>47</v>
      </c>
      <c r="F615" s="2" t="s">
        <v>48</v>
      </c>
      <c r="G615" s="4">
        <v>2641.16</v>
      </c>
      <c r="H615" s="4">
        <v>3000</v>
      </c>
    </row>
    <row r="616" spans="1:8" x14ac:dyDescent="0.2">
      <c r="A616" s="2">
        <v>100615</v>
      </c>
      <c r="B616" s="3">
        <v>46276</v>
      </c>
      <c r="C616" s="2" t="s">
        <v>46</v>
      </c>
      <c r="D616" s="2" t="s">
        <v>16</v>
      </c>
      <c r="E616" s="2" t="s">
        <v>47</v>
      </c>
      <c r="F616" s="2" t="s">
        <v>49</v>
      </c>
      <c r="G616" s="4">
        <v>2478.62</v>
      </c>
      <c r="H616" s="4">
        <v>3000</v>
      </c>
    </row>
    <row r="617" spans="1:8" x14ac:dyDescent="0.2">
      <c r="A617" s="2">
        <v>100616</v>
      </c>
      <c r="B617" s="3">
        <v>46273</v>
      </c>
      <c r="C617" s="2" t="s">
        <v>46</v>
      </c>
      <c r="D617" s="2" t="s">
        <v>16</v>
      </c>
      <c r="E617" s="2" t="s">
        <v>47</v>
      </c>
      <c r="F617" s="2" t="s">
        <v>48</v>
      </c>
      <c r="G617" s="4">
        <v>3104.68</v>
      </c>
      <c r="H617" s="4">
        <v>3000</v>
      </c>
    </row>
    <row r="618" spans="1:8" x14ac:dyDescent="0.2">
      <c r="A618" s="2">
        <v>100617</v>
      </c>
      <c r="B618" s="3">
        <v>46287</v>
      </c>
      <c r="C618" s="2" t="s">
        <v>46</v>
      </c>
      <c r="D618" s="2" t="s">
        <v>12</v>
      </c>
      <c r="E618" s="2" t="s">
        <v>47</v>
      </c>
      <c r="F618" s="2" t="s">
        <v>50</v>
      </c>
      <c r="G618" s="4">
        <v>3231.91</v>
      </c>
      <c r="H618" s="4">
        <v>3000</v>
      </c>
    </row>
    <row r="619" spans="1:8" x14ac:dyDescent="0.2">
      <c r="A619" s="2">
        <v>100618</v>
      </c>
      <c r="B619" s="3">
        <v>46286</v>
      </c>
      <c r="C619" s="2" t="s">
        <v>46</v>
      </c>
      <c r="D619" s="2" t="s">
        <v>16</v>
      </c>
      <c r="E619" s="2" t="s">
        <v>20</v>
      </c>
      <c r="F619" s="2" t="s">
        <v>29</v>
      </c>
      <c r="G619" s="4">
        <v>616.63</v>
      </c>
      <c r="H619" s="4">
        <v>500</v>
      </c>
    </row>
    <row r="620" spans="1:8" x14ac:dyDescent="0.2">
      <c r="A620" s="2">
        <v>100619</v>
      </c>
      <c r="B620" s="3">
        <v>46289</v>
      </c>
      <c r="C620" s="2" t="s">
        <v>46</v>
      </c>
      <c r="D620" s="2" t="s">
        <v>16</v>
      </c>
      <c r="E620" s="2" t="s">
        <v>20</v>
      </c>
      <c r="F620" s="2" t="s">
        <v>21</v>
      </c>
      <c r="G620" s="4">
        <v>490.21</v>
      </c>
      <c r="H620" s="4">
        <v>500</v>
      </c>
    </row>
    <row r="621" spans="1:8" x14ac:dyDescent="0.2">
      <c r="A621" s="2">
        <v>100620</v>
      </c>
      <c r="B621" s="3">
        <v>46289</v>
      </c>
      <c r="C621" s="2" t="s">
        <v>46</v>
      </c>
      <c r="D621" s="2" t="s">
        <v>16</v>
      </c>
      <c r="E621" s="2" t="s">
        <v>20</v>
      </c>
      <c r="F621" s="2" t="s">
        <v>30</v>
      </c>
      <c r="G621" s="4">
        <v>417.32</v>
      </c>
      <c r="H621" s="4">
        <v>500</v>
      </c>
    </row>
    <row r="622" spans="1:8" x14ac:dyDescent="0.2">
      <c r="A622" s="2">
        <v>100621</v>
      </c>
      <c r="B622" s="3">
        <v>46283</v>
      </c>
      <c r="C622" s="2" t="s">
        <v>46</v>
      </c>
      <c r="D622" s="2" t="s">
        <v>16</v>
      </c>
      <c r="E622" s="2" t="s">
        <v>20</v>
      </c>
      <c r="F622" s="2" t="s">
        <v>29</v>
      </c>
      <c r="G622" s="4">
        <v>421.01</v>
      </c>
      <c r="H622" s="4">
        <v>500</v>
      </c>
    </row>
    <row r="623" spans="1:8" x14ac:dyDescent="0.2">
      <c r="A623" s="2">
        <v>100622</v>
      </c>
      <c r="B623" s="3">
        <v>46293</v>
      </c>
      <c r="C623" s="2" t="s">
        <v>46</v>
      </c>
      <c r="D623" s="2" t="s">
        <v>12</v>
      </c>
      <c r="E623" s="2" t="s">
        <v>34</v>
      </c>
      <c r="F623" s="2" t="s">
        <v>39</v>
      </c>
      <c r="G623" s="4">
        <v>1342.1</v>
      </c>
      <c r="H623" s="4">
        <v>1750</v>
      </c>
    </row>
    <row r="624" spans="1:8" x14ac:dyDescent="0.2">
      <c r="A624" s="2">
        <v>100623</v>
      </c>
      <c r="B624" s="3">
        <v>46266</v>
      </c>
      <c r="C624" s="2" t="s">
        <v>46</v>
      </c>
      <c r="D624" s="2" t="s">
        <v>12</v>
      </c>
      <c r="E624" s="2" t="s">
        <v>34</v>
      </c>
      <c r="F624" s="2" t="s">
        <v>37</v>
      </c>
      <c r="G624" s="4">
        <v>1354.95</v>
      </c>
      <c r="H624" s="4">
        <v>1750</v>
      </c>
    </row>
    <row r="625" spans="1:8" x14ac:dyDescent="0.2">
      <c r="A625" s="2">
        <v>100624</v>
      </c>
      <c r="B625" s="3">
        <v>46270</v>
      </c>
      <c r="C625" s="2" t="s">
        <v>52</v>
      </c>
      <c r="D625" s="2" t="s">
        <v>9</v>
      </c>
      <c r="E625" s="2" t="s">
        <v>41</v>
      </c>
      <c r="F625" s="2" t="s">
        <v>42</v>
      </c>
      <c r="G625" s="4">
        <v>9930.4599999999991</v>
      </c>
      <c r="H625" s="4">
        <v>12666.67</v>
      </c>
    </row>
    <row r="626" spans="1:8" x14ac:dyDescent="0.2">
      <c r="A626" s="2">
        <v>100625</v>
      </c>
      <c r="B626" s="3">
        <v>46277</v>
      </c>
      <c r="C626" s="2" t="s">
        <v>52</v>
      </c>
      <c r="D626" s="2" t="s">
        <v>9</v>
      </c>
      <c r="E626" s="2" t="s">
        <v>41</v>
      </c>
      <c r="F626" s="2" t="s">
        <v>42</v>
      </c>
      <c r="G626" s="4">
        <v>12702.98</v>
      </c>
      <c r="H626" s="4">
        <v>12666.67</v>
      </c>
    </row>
    <row r="627" spans="1:8" x14ac:dyDescent="0.2">
      <c r="A627" s="2">
        <v>100626</v>
      </c>
      <c r="B627" s="3">
        <v>46266</v>
      </c>
      <c r="C627" s="2" t="s">
        <v>52</v>
      </c>
      <c r="D627" s="2" t="s">
        <v>12</v>
      </c>
      <c r="E627" s="2" t="s">
        <v>41</v>
      </c>
      <c r="F627" s="2" t="s">
        <v>42</v>
      </c>
      <c r="G627" s="4">
        <v>13675.47</v>
      </c>
      <c r="H627" s="4">
        <v>12666.67</v>
      </c>
    </row>
    <row r="628" spans="1:8" x14ac:dyDescent="0.2">
      <c r="A628" s="2">
        <v>100627</v>
      </c>
      <c r="B628" s="3">
        <v>46289</v>
      </c>
      <c r="C628" s="2" t="s">
        <v>52</v>
      </c>
      <c r="D628" s="2" t="s">
        <v>9</v>
      </c>
      <c r="E628" s="2" t="s">
        <v>47</v>
      </c>
      <c r="F628" s="2" t="s">
        <v>50</v>
      </c>
      <c r="G628" s="4">
        <v>1213.3800000000001</v>
      </c>
      <c r="H628" s="4">
        <v>1600</v>
      </c>
    </row>
    <row r="629" spans="1:8" x14ac:dyDescent="0.2">
      <c r="A629" s="2">
        <v>100628</v>
      </c>
      <c r="B629" s="3">
        <v>46292</v>
      </c>
      <c r="C629" s="2" t="s">
        <v>52</v>
      </c>
      <c r="D629" s="2" t="s">
        <v>12</v>
      </c>
      <c r="E629" s="2" t="s">
        <v>47</v>
      </c>
      <c r="F629" s="2" t="s">
        <v>48</v>
      </c>
      <c r="G629" s="4">
        <v>1213.71</v>
      </c>
      <c r="H629" s="4">
        <v>1600</v>
      </c>
    </row>
    <row r="630" spans="1:8" x14ac:dyDescent="0.2">
      <c r="A630" s="2">
        <v>100629</v>
      </c>
      <c r="B630" s="3">
        <v>46269</v>
      </c>
      <c r="C630" s="2" t="s">
        <v>52</v>
      </c>
      <c r="D630" s="2" t="s">
        <v>9</v>
      </c>
      <c r="E630" s="2" t="s">
        <v>47</v>
      </c>
      <c r="F630" s="2" t="s">
        <v>49</v>
      </c>
      <c r="G630" s="4">
        <v>1285.6099999999999</v>
      </c>
      <c r="H630" s="4">
        <v>1600</v>
      </c>
    </row>
    <row r="631" spans="1:8" x14ac:dyDescent="0.2">
      <c r="A631" s="2">
        <v>100630</v>
      </c>
      <c r="B631" s="3">
        <v>46282</v>
      </c>
      <c r="C631" s="2" t="s">
        <v>52</v>
      </c>
      <c r="D631" s="2" t="s">
        <v>9</v>
      </c>
      <c r="E631" s="2" t="s">
        <v>47</v>
      </c>
      <c r="F631" s="2" t="s">
        <v>50</v>
      </c>
      <c r="G631" s="4">
        <v>1353.55</v>
      </c>
      <c r="H631" s="4">
        <v>1600</v>
      </c>
    </row>
    <row r="632" spans="1:8" x14ac:dyDescent="0.2">
      <c r="A632" s="2">
        <v>100631</v>
      </c>
      <c r="B632" s="3">
        <v>46278</v>
      </c>
      <c r="C632" s="2" t="s">
        <v>52</v>
      </c>
      <c r="D632" s="2" t="s">
        <v>12</v>
      </c>
      <c r="E632" s="2" t="s">
        <v>47</v>
      </c>
      <c r="F632" s="2" t="s">
        <v>60</v>
      </c>
      <c r="G632" s="4">
        <v>1413.86</v>
      </c>
      <c r="H632" s="4">
        <v>1600</v>
      </c>
    </row>
    <row r="633" spans="1:8" x14ac:dyDescent="0.2">
      <c r="A633" s="2">
        <v>100632</v>
      </c>
      <c r="B633" s="3">
        <v>46273</v>
      </c>
      <c r="C633" s="2" t="s">
        <v>52</v>
      </c>
      <c r="D633" s="2" t="s">
        <v>12</v>
      </c>
      <c r="E633" s="2" t="s">
        <v>34</v>
      </c>
      <c r="F633" s="2" t="s">
        <v>35</v>
      </c>
      <c r="G633" s="4">
        <v>1714.12</v>
      </c>
      <c r="H633" s="4">
        <v>1750</v>
      </c>
    </row>
    <row r="634" spans="1:8" x14ac:dyDescent="0.2">
      <c r="A634" s="2">
        <v>100633</v>
      </c>
      <c r="B634" s="3">
        <v>46293</v>
      </c>
      <c r="C634" s="2" t="s">
        <v>52</v>
      </c>
      <c r="D634" s="2" t="s">
        <v>12</v>
      </c>
      <c r="E634" s="2" t="s">
        <v>34</v>
      </c>
      <c r="F634" s="2" t="s">
        <v>39</v>
      </c>
      <c r="G634" s="4">
        <v>1911.04</v>
      </c>
      <c r="H634" s="4">
        <v>1750</v>
      </c>
    </row>
    <row r="635" spans="1:8" x14ac:dyDescent="0.2">
      <c r="A635" s="2">
        <v>100634</v>
      </c>
      <c r="B635" s="3">
        <v>46278</v>
      </c>
      <c r="C635" s="2" t="s">
        <v>52</v>
      </c>
      <c r="D635" s="2" t="s">
        <v>9</v>
      </c>
      <c r="E635" s="2" t="s">
        <v>34</v>
      </c>
      <c r="F635" s="2" t="s">
        <v>37</v>
      </c>
      <c r="G635" s="4">
        <v>1394.31</v>
      </c>
      <c r="H635" s="4">
        <v>1750</v>
      </c>
    </row>
    <row r="636" spans="1:8" x14ac:dyDescent="0.2">
      <c r="A636" s="2">
        <v>100635</v>
      </c>
      <c r="B636" s="3">
        <v>46266</v>
      </c>
      <c r="C636" s="2" t="s">
        <v>52</v>
      </c>
      <c r="D636" s="2" t="s">
        <v>12</v>
      </c>
      <c r="E636" s="2" t="s">
        <v>34</v>
      </c>
      <c r="F636" s="2" t="s">
        <v>35</v>
      </c>
      <c r="G636" s="4">
        <v>1361.6</v>
      </c>
      <c r="H636" s="4">
        <v>1750</v>
      </c>
    </row>
    <row r="637" spans="1:8" x14ac:dyDescent="0.2">
      <c r="A637" s="2">
        <v>100636</v>
      </c>
      <c r="B637" s="3">
        <v>46286</v>
      </c>
      <c r="C637" s="2" t="s">
        <v>52</v>
      </c>
      <c r="D637" s="2" t="s">
        <v>12</v>
      </c>
      <c r="E637" s="2" t="s">
        <v>20</v>
      </c>
      <c r="F637" s="2" t="s">
        <v>21</v>
      </c>
      <c r="G637" s="4">
        <v>1055.4000000000001</v>
      </c>
      <c r="H637" s="4">
        <v>900</v>
      </c>
    </row>
    <row r="638" spans="1:8" x14ac:dyDescent="0.2">
      <c r="A638" s="2">
        <v>100637</v>
      </c>
      <c r="B638" s="3">
        <v>46293</v>
      </c>
      <c r="C638" s="2" t="s">
        <v>52</v>
      </c>
      <c r="D638" s="2" t="s">
        <v>12</v>
      </c>
      <c r="E638" s="2" t="s">
        <v>20</v>
      </c>
      <c r="F638" s="2" t="s">
        <v>22</v>
      </c>
      <c r="G638" s="4">
        <v>929.64</v>
      </c>
      <c r="H638" s="4">
        <v>900</v>
      </c>
    </row>
    <row r="639" spans="1:8" x14ac:dyDescent="0.2">
      <c r="A639" s="2">
        <v>100638</v>
      </c>
      <c r="B639" s="3">
        <v>46314</v>
      </c>
      <c r="C639" s="2" t="s">
        <v>8</v>
      </c>
      <c r="D639" s="2" t="s">
        <v>9</v>
      </c>
      <c r="E639" s="2" t="s">
        <v>10</v>
      </c>
      <c r="F639" s="2" t="s">
        <v>53</v>
      </c>
      <c r="G639" s="4">
        <v>127121.79</v>
      </c>
      <c r="H639" s="4">
        <v>90000</v>
      </c>
    </row>
    <row r="640" spans="1:8" x14ac:dyDescent="0.2">
      <c r="A640" s="2">
        <v>100639</v>
      </c>
      <c r="B640" s="3">
        <v>46304</v>
      </c>
      <c r="C640" s="2" t="s">
        <v>8</v>
      </c>
      <c r="D640" s="2" t="s">
        <v>16</v>
      </c>
      <c r="E640" s="2" t="s">
        <v>10</v>
      </c>
      <c r="F640" s="2" t="s">
        <v>54</v>
      </c>
      <c r="G640" s="4">
        <v>87830.23</v>
      </c>
      <c r="H640" s="4">
        <v>90000</v>
      </c>
    </row>
    <row r="641" spans="1:8" x14ac:dyDescent="0.2">
      <c r="A641" s="2">
        <v>100640</v>
      </c>
      <c r="B641" s="3">
        <v>46302</v>
      </c>
      <c r="C641" s="2" t="s">
        <v>8</v>
      </c>
      <c r="D641" s="2" t="s">
        <v>16</v>
      </c>
      <c r="E641" s="2" t="s">
        <v>14</v>
      </c>
      <c r="F641" s="2" t="s">
        <v>15</v>
      </c>
      <c r="G641" s="4">
        <v>4546.97</v>
      </c>
      <c r="H641" s="4">
        <v>6000</v>
      </c>
    </row>
    <row r="642" spans="1:8" x14ac:dyDescent="0.2">
      <c r="A642" s="2">
        <v>100641</v>
      </c>
      <c r="B642" s="3">
        <v>46298</v>
      </c>
      <c r="C642" s="2" t="s">
        <v>8</v>
      </c>
      <c r="D642" s="2" t="s">
        <v>12</v>
      </c>
      <c r="E642" s="2" t="s">
        <v>14</v>
      </c>
      <c r="F642" s="2" t="s">
        <v>15</v>
      </c>
      <c r="G642" s="4">
        <v>6962.71</v>
      </c>
      <c r="H642" s="4">
        <v>6000</v>
      </c>
    </row>
    <row r="643" spans="1:8" x14ac:dyDescent="0.2">
      <c r="A643" s="2">
        <v>100642</v>
      </c>
      <c r="B643" s="3">
        <v>46314</v>
      </c>
      <c r="C643" s="2" t="s">
        <v>8</v>
      </c>
      <c r="D643" s="2" t="s">
        <v>9</v>
      </c>
      <c r="E643" s="2" t="s">
        <v>14</v>
      </c>
      <c r="F643" s="2" t="s">
        <v>15</v>
      </c>
      <c r="G643" s="4">
        <v>6191.87</v>
      </c>
      <c r="H643" s="4">
        <v>6000</v>
      </c>
    </row>
    <row r="644" spans="1:8" x14ac:dyDescent="0.2">
      <c r="A644" s="2">
        <v>100643</v>
      </c>
      <c r="B644" s="3">
        <v>46300</v>
      </c>
      <c r="C644" s="2" t="s">
        <v>8</v>
      </c>
      <c r="D644" s="2" t="s">
        <v>16</v>
      </c>
      <c r="E644" s="2" t="s">
        <v>17</v>
      </c>
      <c r="F644" s="2" t="s">
        <v>18</v>
      </c>
      <c r="G644" s="4">
        <v>1127.8</v>
      </c>
      <c r="H644" s="4">
        <v>1000</v>
      </c>
    </row>
    <row r="645" spans="1:8" x14ac:dyDescent="0.2">
      <c r="A645" s="2">
        <v>100644</v>
      </c>
      <c r="B645" s="3">
        <v>46307</v>
      </c>
      <c r="C645" s="2" t="s">
        <v>8</v>
      </c>
      <c r="D645" s="2" t="s">
        <v>12</v>
      </c>
      <c r="E645" s="2" t="s">
        <v>17</v>
      </c>
      <c r="F645" s="2" t="s">
        <v>18</v>
      </c>
      <c r="G645" s="4">
        <v>1122.73</v>
      </c>
      <c r="H645" s="4">
        <v>1000</v>
      </c>
    </row>
    <row r="646" spans="1:8" x14ac:dyDescent="0.2">
      <c r="A646" s="2">
        <v>100645</v>
      </c>
      <c r="B646" s="3">
        <v>46322</v>
      </c>
      <c r="C646" s="2" t="s">
        <v>8</v>
      </c>
      <c r="D646" s="2" t="s">
        <v>9</v>
      </c>
      <c r="E646" s="2" t="s">
        <v>17</v>
      </c>
      <c r="F646" s="2" t="s">
        <v>18</v>
      </c>
      <c r="G646" s="4">
        <v>968.54</v>
      </c>
      <c r="H646" s="4">
        <v>1000</v>
      </c>
    </row>
    <row r="647" spans="1:8" x14ac:dyDescent="0.2">
      <c r="A647" s="2">
        <v>100646</v>
      </c>
      <c r="B647" s="3">
        <v>46315</v>
      </c>
      <c r="C647" s="2" t="s">
        <v>8</v>
      </c>
      <c r="D647" s="2" t="s">
        <v>16</v>
      </c>
      <c r="E647" s="2" t="s">
        <v>17</v>
      </c>
      <c r="F647" s="2" t="s">
        <v>32</v>
      </c>
      <c r="G647" s="4">
        <v>1052.58</v>
      </c>
      <c r="H647" s="4">
        <v>1000</v>
      </c>
    </row>
    <row r="648" spans="1:8" x14ac:dyDescent="0.2">
      <c r="A648" s="2">
        <v>100647</v>
      </c>
      <c r="B648" s="3">
        <v>46304</v>
      </c>
      <c r="C648" s="2" t="s">
        <v>8</v>
      </c>
      <c r="D648" s="2" t="s">
        <v>16</v>
      </c>
      <c r="E648" s="2" t="s">
        <v>20</v>
      </c>
      <c r="F648" s="2" t="s">
        <v>21</v>
      </c>
      <c r="G648" s="4">
        <v>382.41</v>
      </c>
      <c r="H648" s="4">
        <v>500</v>
      </c>
    </row>
    <row r="649" spans="1:8" x14ac:dyDescent="0.2">
      <c r="A649" s="2">
        <v>100648</v>
      </c>
      <c r="B649" s="3">
        <v>46307</v>
      </c>
      <c r="C649" s="2" t="s">
        <v>8</v>
      </c>
      <c r="D649" s="2" t="s">
        <v>16</v>
      </c>
      <c r="E649" s="2" t="s">
        <v>20</v>
      </c>
      <c r="F649" s="2" t="s">
        <v>30</v>
      </c>
      <c r="G649" s="4">
        <v>497.65</v>
      </c>
      <c r="H649" s="4">
        <v>500</v>
      </c>
    </row>
    <row r="650" spans="1:8" x14ac:dyDescent="0.2">
      <c r="A650" s="2">
        <v>100649</v>
      </c>
      <c r="B650" s="3">
        <v>46317</v>
      </c>
      <c r="C650" s="2" t="s">
        <v>8</v>
      </c>
      <c r="D650" s="2" t="s">
        <v>16</v>
      </c>
      <c r="E650" s="2" t="s">
        <v>20</v>
      </c>
      <c r="F650" s="2" t="s">
        <v>30</v>
      </c>
      <c r="G650" s="4">
        <v>482.96</v>
      </c>
      <c r="H650" s="4">
        <v>500</v>
      </c>
    </row>
    <row r="651" spans="1:8" x14ac:dyDescent="0.2">
      <c r="A651" s="2">
        <v>100650</v>
      </c>
      <c r="B651" s="3">
        <v>46320</v>
      </c>
      <c r="C651" s="2" t="s">
        <v>8</v>
      </c>
      <c r="D651" s="2" t="s">
        <v>12</v>
      </c>
      <c r="E651" s="2" t="s">
        <v>20</v>
      </c>
      <c r="F651" s="2" t="s">
        <v>30</v>
      </c>
      <c r="G651" s="4">
        <v>470.02</v>
      </c>
      <c r="H651" s="4">
        <v>500</v>
      </c>
    </row>
    <row r="652" spans="1:8" x14ac:dyDescent="0.2">
      <c r="A652" s="2">
        <v>100651</v>
      </c>
      <c r="B652" s="3">
        <v>46318</v>
      </c>
      <c r="C652" s="2" t="s">
        <v>8</v>
      </c>
      <c r="D652" s="2" t="s">
        <v>16</v>
      </c>
      <c r="E652" s="2" t="s">
        <v>20</v>
      </c>
      <c r="F652" s="2" t="s">
        <v>22</v>
      </c>
      <c r="G652" s="4">
        <v>574.51</v>
      </c>
      <c r="H652" s="4">
        <v>500</v>
      </c>
    </row>
    <row r="653" spans="1:8" x14ac:dyDescent="0.2">
      <c r="A653" s="2">
        <v>100652</v>
      </c>
      <c r="B653" s="3">
        <v>46318</v>
      </c>
      <c r="C653" s="2" t="s">
        <v>23</v>
      </c>
      <c r="D653" s="2" t="s">
        <v>16</v>
      </c>
      <c r="E653" s="2" t="s">
        <v>24</v>
      </c>
      <c r="F653" s="2" t="s">
        <v>56</v>
      </c>
      <c r="G653" s="4">
        <v>14474.43</v>
      </c>
      <c r="H653" s="4">
        <v>17500</v>
      </c>
    </row>
    <row r="654" spans="1:8" x14ac:dyDescent="0.2">
      <c r="A654" s="2">
        <v>100653</v>
      </c>
      <c r="B654" s="3">
        <v>46306</v>
      </c>
      <c r="C654" s="2" t="s">
        <v>23</v>
      </c>
      <c r="D654" s="2" t="s">
        <v>9</v>
      </c>
      <c r="E654" s="2" t="s">
        <v>24</v>
      </c>
      <c r="F654" s="2" t="s">
        <v>27</v>
      </c>
      <c r="G654" s="4">
        <v>19596.98</v>
      </c>
      <c r="H654" s="4">
        <v>17500</v>
      </c>
    </row>
    <row r="655" spans="1:8" x14ac:dyDescent="0.2">
      <c r="A655" s="2">
        <v>100654</v>
      </c>
      <c r="B655" s="3">
        <v>46305</v>
      </c>
      <c r="C655" s="2" t="s">
        <v>23</v>
      </c>
      <c r="D655" s="2" t="s">
        <v>9</v>
      </c>
      <c r="E655" s="2" t="s">
        <v>20</v>
      </c>
      <c r="F655" s="2" t="s">
        <v>31</v>
      </c>
      <c r="G655" s="4">
        <v>1128.9000000000001</v>
      </c>
      <c r="H655" s="4">
        <v>1500</v>
      </c>
    </row>
    <row r="656" spans="1:8" x14ac:dyDescent="0.2">
      <c r="A656" s="2">
        <v>100655</v>
      </c>
      <c r="B656" s="3">
        <v>46299</v>
      </c>
      <c r="C656" s="2" t="s">
        <v>23</v>
      </c>
      <c r="D656" s="2" t="s">
        <v>16</v>
      </c>
      <c r="E656" s="2" t="s">
        <v>20</v>
      </c>
      <c r="F656" s="2" t="s">
        <v>51</v>
      </c>
      <c r="G656" s="4">
        <v>1696.01</v>
      </c>
      <c r="H656" s="4">
        <v>1500</v>
      </c>
    </row>
    <row r="657" spans="1:8" x14ac:dyDescent="0.2">
      <c r="A657" s="2">
        <v>100656</v>
      </c>
      <c r="B657" s="3">
        <v>46313</v>
      </c>
      <c r="C657" s="2" t="s">
        <v>23</v>
      </c>
      <c r="D657" s="2" t="s">
        <v>9</v>
      </c>
      <c r="E657" s="2" t="s">
        <v>17</v>
      </c>
      <c r="F657" s="2" t="s">
        <v>32</v>
      </c>
      <c r="G657" s="4">
        <v>1206.8599999999999</v>
      </c>
      <c r="H657" s="4">
        <v>1250</v>
      </c>
    </row>
    <row r="658" spans="1:8" x14ac:dyDescent="0.2">
      <c r="A658" s="2">
        <v>100657</v>
      </c>
      <c r="B658" s="3">
        <v>46296</v>
      </c>
      <c r="C658" s="2" t="s">
        <v>23</v>
      </c>
      <c r="D658" s="2" t="s">
        <v>12</v>
      </c>
      <c r="E658" s="2" t="s">
        <v>17</v>
      </c>
      <c r="F658" s="2" t="s">
        <v>18</v>
      </c>
      <c r="G658" s="4">
        <v>1192.53</v>
      </c>
      <c r="H658" s="4">
        <v>1250</v>
      </c>
    </row>
    <row r="659" spans="1:8" x14ac:dyDescent="0.2">
      <c r="A659" s="2">
        <v>100658</v>
      </c>
      <c r="B659" s="3">
        <v>46315</v>
      </c>
      <c r="C659" s="2" t="s">
        <v>23</v>
      </c>
      <c r="D659" s="2" t="s">
        <v>12</v>
      </c>
      <c r="E659" s="2" t="s">
        <v>34</v>
      </c>
      <c r="F659" s="2" t="s">
        <v>36</v>
      </c>
      <c r="G659" s="4">
        <v>1194.8</v>
      </c>
      <c r="H659" s="4">
        <v>1500</v>
      </c>
    </row>
    <row r="660" spans="1:8" x14ac:dyDescent="0.2">
      <c r="A660" s="2">
        <v>100659</v>
      </c>
      <c r="B660" s="3">
        <v>46309</v>
      </c>
      <c r="C660" s="2" t="s">
        <v>23</v>
      </c>
      <c r="D660" s="2" t="s">
        <v>16</v>
      </c>
      <c r="E660" s="2" t="s">
        <v>34</v>
      </c>
      <c r="F660" s="2" t="s">
        <v>37</v>
      </c>
      <c r="G660" s="4">
        <v>1134.26</v>
      </c>
      <c r="H660" s="4">
        <v>1500</v>
      </c>
    </row>
    <row r="661" spans="1:8" x14ac:dyDescent="0.2">
      <c r="A661" s="2">
        <v>100660</v>
      </c>
      <c r="B661" s="3">
        <v>46313</v>
      </c>
      <c r="C661" s="2" t="s">
        <v>23</v>
      </c>
      <c r="D661" s="2" t="s">
        <v>9</v>
      </c>
      <c r="E661" s="2" t="s">
        <v>34</v>
      </c>
      <c r="F661" s="2" t="s">
        <v>35</v>
      </c>
      <c r="G661" s="4">
        <v>1668.63</v>
      </c>
      <c r="H661" s="4">
        <v>1500</v>
      </c>
    </row>
    <row r="662" spans="1:8" x14ac:dyDescent="0.2">
      <c r="A662" s="2">
        <v>100661</v>
      </c>
      <c r="B662" s="3">
        <v>46317</v>
      </c>
      <c r="C662" s="2" t="s">
        <v>23</v>
      </c>
      <c r="D662" s="2" t="s">
        <v>12</v>
      </c>
      <c r="E662" s="2" t="s">
        <v>34</v>
      </c>
      <c r="F662" s="2" t="s">
        <v>37</v>
      </c>
      <c r="G662" s="4">
        <v>1515.83</v>
      </c>
      <c r="H662" s="4">
        <v>1500</v>
      </c>
    </row>
    <row r="663" spans="1:8" x14ac:dyDescent="0.2">
      <c r="A663" s="2">
        <v>100662</v>
      </c>
      <c r="B663" s="3">
        <v>46304</v>
      </c>
      <c r="C663" s="2" t="s">
        <v>40</v>
      </c>
      <c r="D663" s="2" t="s">
        <v>9</v>
      </c>
      <c r="E663" s="2" t="s">
        <v>41</v>
      </c>
      <c r="F663" s="2" t="s">
        <v>42</v>
      </c>
      <c r="G663" s="4">
        <v>28007.88</v>
      </c>
      <c r="H663" s="4">
        <v>31666.67</v>
      </c>
    </row>
    <row r="664" spans="1:8" x14ac:dyDescent="0.2">
      <c r="A664" s="2">
        <v>100663</v>
      </c>
      <c r="B664" s="3">
        <v>46309</v>
      </c>
      <c r="C664" s="2" t="s">
        <v>40</v>
      </c>
      <c r="D664" s="2" t="s">
        <v>9</v>
      </c>
      <c r="E664" s="2" t="s">
        <v>41</v>
      </c>
      <c r="F664" s="2" t="s">
        <v>42</v>
      </c>
      <c r="G664" s="4">
        <v>24751.73</v>
      </c>
      <c r="H664" s="4">
        <v>31666.67</v>
      </c>
    </row>
    <row r="665" spans="1:8" x14ac:dyDescent="0.2">
      <c r="A665" s="2">
        <v>100664</v>
      </c>
      <c r="B665" s="3">
        <v>46321</v>
      </c>
      <c r="C665" s="2" t="s">
        <v>40</v>
      </c>
      <c r="D665" s="2" t="s">
        <v>16</v>
      </c>
      <c r="E665" s="2" t="s">
        <v>41</v>
      </c>
      <c r="F665" s="2" t="s">
        <v>42</v>
      </c>
      <c r="G665" s="4">
        <v>28496.080000000002</v>
      </c>
      <c r="H665" s="4">
        <v>31666.67</v>
      </c>
    </row>
    <row r="666" spans="1:8" x14ac:dyDescent="0.2">
      <c r="A666" s="2">
        <v>100665</v>
      </c>
      <c r="B666" s="3">
        <v>46319</v>
      </c>
      <c r="C666" s="2" t="s">
        <v>40</v>
      </c>
      <c r="D666" s="2" t="s">
        <v>16</v>
      </c>
      <c r="E666" s="2" t="s">
        <v>20</v>
      </c>
      <c r="F666" s="2" t="s">
        <v>29</v>
      </c>
      <c r="G666" s="4">
        <v>1374.88</v>
      </c>
      <c r="H666" s="4">
        <v>1125</v>
      </c>
    </row>
    <row r="667" spans="1:8" x14ac:dyDescent="0.2">
      <c r="A667" s="2">
        <v>100666</v>
      </c>
      <c r="B667" s="3">
        <v>46302</v>
      </c>
      <c r="C667" s="2" t="s">
        <v>40</v>
      </c>
      <c r="D667" s="2" t="s">
        <v>16</v>
      </c>
      <c r="E667" s="2" t="s">
        <v>20</v>
      </c>
      <c r="F667" s="2" t="s">
        <v>31</v>
      </c>
      <c r="G667" s="4">
        <v>1177.77</v>
      </c>
      <c r="H667" s="4">
        <v>1125</v>
      </c>
    </row>
    <row r="668" spans="1:8" x14ac:dyDescent="0.2">
      <c r="A668" s="2">
        <v>100667</v>
      </c>
      <c r="B668" s="3">
        <v>46296</v>
      </c>
      <c r="C668" s="2" t="s">
        <v>40</v>
      </c>
      <c r="D668" s="2" t="s">
        <v>9</v>
      </c>
      <c r="E668" s="2" t="s">
        <v>20</v>
      </c>
      <c r="F668" s="2" t="s">
        <v>31</v>
      </c>
      <c r="G668" s="4">
        <v>919.96</v>
      </c>
      <c r="H668" s="4">
        <v>1125</v>
      </c>
    </row>
    <row r="669" spans="1:8" x14ac:dyDescent="0.2">
      <c r="A669" s="2">
        <v>100668</v>
      </c>
      <c r="B669" s="3">
        <v>46308</v>
      </c>
      <c r="C669" s="2" t="s">
        <v>40</v>
      </c>
      <c r="D669" s="2" t="s">
        <v>16</v>
      </c>
      <c r="E669" s="2" t="s">
        <v>20</v>
      </c>
      <c r="F669" s="2" t="s">
        <v>21</v>
      </c>
      <c r="G669" s="4">
        <v>1317.16</v>
      </c>
      <c r="H669" s="4">
        <v>1125</v>
      </c>
    </row>
    <row r="670" spans="1:8" x14ac:dyDescent="0.2">
      <c r="A670" s="2">
        <v>100669</v>
      </c>
      <c r="B670" s="3">
        <v>46322</v>
      </c>
      <c r="C670" s="2" t="s">
        <v>40</v>
      </c>
      <c r="D670" s="2" t="s">
        <v>16</v>
      </c>
      <c r="E670" s="2" t="s">
        <v>43</v>
      </c>
      <c r="F670" s="2" t="s">
        <v>44</v>
      </c>
      <c r="G670" s="4">
        <v>2752.1</v>
      </c>
      <c r="H670" s="4">
        <v>3000</v>
      </c>
    </row>
    <row r="671" spans="1:8" x14ac:dyDescent="0.2">
      <c r="A671" s="2">
        <v>100670</v>
      </c>
      <c r="B671" s="3">
        <v>46306</v>
      </c>
      <c r="C671" s="2" t="s">
        <v>40</v>
      </c>
      <c r="D671" s="2" t="s">
        <v>12</v>
      </c>
      <c r="E671" s="2" t="s">
        <v>43</v>
      </c>
      <c r="F671" s="2" t="s">
        <v>44</v>
      </c>
      <c r="G671" s="4">
        <v>2454.19</v>
      </c>
      <c r="H671" s="4">
        <v>3000</v>
      </c>
    </row>
    <row r="672" spans="1:8" x14ac:dyDescent="0.2">
      <c r="A672" s="2">
        <v>100671</v>
      </c>
      <c r="B672" s="3">
        <v>46306</v>
      </c>
      <c r="C672" s="2" t="s">
        <v>40</v>
      </c>
      <c r="D672" s="2" t="s">
        <v>12</v>
      </c>
      <c r="E672" s="2" t="s">
        <v>43</v>
      </c>
      <c r="F672" s="2" t="s">
        <v>45</v>
      </c>
      <c r="G672" s="4">
        <v>2551.2800000000002</v>
      </c>
      <c r="H672" s="4">
        <v>3000</v>
      </c>
    </row>
    <row r="673" spans="1:8" x14ac:dyDescent="0.2">
      <c r="A673" s="2">
        <v>100672</v>
      </c>
      <c r="B673" s="3">
        <v>46305</v>
      </c>
      <c r="C673" s="2" t="s">
        <v>40</v>
      </c>
      <c r="D673" s="2" t="s">
        <v>16</v>
      </c>
      <c r="E673" s="2" t="s">
        <v>43</v>
      </c>
      <c r="F673" s="2" t="s">
        <v>44</v>
      </c>
      <c r="G673" s="4">
        <v>3703.09</v>
      </c>
      <c r="H673" s="4">
        <v>3000</v>
      </c>
    </row>
    <row r="674" spans="1:8" x14ac:dyDescent="0.2">
      <c r="A674" s="2">
        <v>100673</v>
      </c>
      <c r="B674" s="3">
        <v>46306</v>
      </c>
      <c r="C674" s="2" t="s">
        <v>40</v>
      </c>
      <c r="D674" s="2" t="s">
        <v>12</v>
      </c>
      <c r="E674" s="2" t="s">
        <v>34</v>
      </c>
      <c r="F674" s="2" t="s">
        <v>37</v>
      </c>
      <c r="G674" s="4">
        <v>1140.99</v>
      </c>
      <c r="H674" s="4">
        <v>1000</v>
      </c>
    </row>
    <row r="675" spans="1:8" x14ac:dyDescent="0.2">
      <c r="A675" s="2">
        <v>100674</v>
      </c>
      <c r="B675" s="3">
        <v>46308</v>
      </c>
      <c r="C675" s="2" t="s">
        <v>40</v>
      </c>
      <c r="D675" s="2" t="s">
        <v>16</v>
      </c>
      <c r="E675" s="2" t="s">
        <v>34</v>
      </c>
      <c r="F675" s="2" t="s">
        <v>36</v>
      </c>
      <c r="G675" s="4">
        <v>1158.25</v>
      </c>
      <c r="H675" s="4">
        <v>1000</v>
      </c>
    </row>
    <row r="676" spans="1:8" x14ac:dyDescent="0.2">
      <c r="A676" s="2">
        <v>100675</v>
      </c>
      <c r="B676" s="3">
        <v>46302</v>
      </c>
      <c r="C676" s="2" t="s">
        <v>40</v>
      </c>
      <c r="D676" s="2" t="s">
        <v>9</v>
      </c>
      <c r="E676" s="2" t="s">
        <v>34</v>
      </c>
      <c r="F676" s="2" t="s">
        <v>38</v>
      </c>
      <c r="G676" s="4">
        <v>1216.03</v>
      </c>
      <c r="H676" s="4">
        <v>1000</v>
      </c>
    </row>
    <row r="677" spans="1:8" x14ac:dyDescent="0.2">
      <c r="A677" s="2">
        <v>100676</v>
      </c>
      <c r="B677" s="3">
        <v>46320</v>
      </c>
      <c r="C677" s="2" t="s">
        <v>40</v>
      </c>
      <c r="D677" s="2" t="s">
        <v>12</v>
      </c>
      <c r="E677" s="2" t="s">
        <v>34</v>
      </c>
      <c r="F677" s="2" t="s">
        <v>38</v>
      </c>
      <c r="G677" s="4">
        <v>839.96</v>
      </c>
      <c r="H677" s="4">
        <v>1000</v>
      </c>
    </row>
    <row r="678" spans="1:8" x14ac:dyDescent="0.2">
      <c r="A678" s="2">
        <v>100677</v>
      </c>
      <c r="B678" s="3">
        <v>46310</v>
      </c>
      <c r="C678" s="2" t="s">
        <v>40</v>
      </c>
      <c r="D678" s="2" t="s">
        <v>9</v>
      </c>
      <c r="E678" s="2" t="s">
        <v>34</v>
      </c>
      <c r="F678" s="2" t="s">
        <v>35</v>
      </c>
      <c r="G678" s="4">
        <v>1226.5</v>
      </c>
      <c r="H678" s="4">
        <v>1000</v>
      </c>
    </row>
    <row r="679" spans="1:8" x14ac:dyDescent="0.2">
      <c r="A679" s="2">
        <v>100678</v>
      </c>
      <c r="B679" s="3">
        <v>46298</v>
      </c>
      <c r="C679" s="2" t="s">
        <v>46</v>
      </c>
      <c r="D679" s="2" t="s">
        <v>16</v>
      </c>
      <c r="E679" s="2" t="s">
        <v>41</v>
      </c>
      <c r="F679" s="2" t="s">
        <v>42</v>
      </c>
      <c r="G679" s="4">
        <v>9791.3799999999992</v>
      </c>
      <c r="H679" s="4">
        <v>8400</v>
      </c>
    </row>
    <row r="680" spans="1:8" x14ac:dyDescent="0.2">
      <c r="A680" s="2">
        <v>100679</v>
      </c>
      <c r="B680" s="3">
        <v>46316</v>
      </c>
      <c r="C680" s="2" t="s">
        <v>46</v>
      </c>
      <c r="D680" s="2" t="s">
        <v>12</v>
      </c>
      <c r="E680" s="2" t="s">
        <v>41</v>
      </c>
      <c r="F680" s="2" t="s">
        <v>42</v>
      </c>
      <c r="G680" s="4">
        <v>8397.07</v>
      </c>
      <c r="H680" s="4">
        <v>8400</v>
      </c>
    </row>
    <row r="681" spans="1:8" x14ac:dyDescent="0.2">
      <c r="A681" s="2">
        <v>100680</v>
      </c>
      <c r="B681" s="3">
        <v>46300</v>
      </c>
      <c r="C681" s="2" t="s">
        <v>46</v>
      </c>
      <c r="D681" s="2" t="s">
        <v>9</v>
      </c>
      <c r="E681" s="2" t="s">
        <v>41</v>
      </c>
      <c r="F681" s="2" t="s">
        <v>42</v>
      </c>
      <c r="G681" s="4">
        <v>7361.26</v>
      </c>
      <c r="H681" s="4">
        <v>8400</v>
      </c>
    </row>
    <row r="682" spans="1:8" x14ac:dyDescent="0.2">
      <c r="A682" s="2">
        <v>100681</v>
      </c>
      <c r="B682" s="3">
        <v>46315</v>
      </c>
      <c r="C682" s="2" t="s">
        <v>46</v>
      </c>
      <c r="D682" s="2" t="s">
        <v>16</v>
      </c>
      <c r="E682" s="2" t="s">
        <v>41</v>
      </c>
      <c r="F682" s="2" t="s">
        <v>42</v>
      </c>
      <c r="G682" s="4">
        <v>6610.65</v>
      </c>
      <c r="H682" s="4">
        <v>8400</v>
      </c>
    </row>
    <row r="683" spans="1:8" x14ac:dyDescent="0.2">
      <c r="A683" s="2">
        <v>100682</v>
      </c>
      <c r="B683" s="3">
        <v>46312</v>
      </c>
      <c r="C683" s="2" t="s">
        <v>46</v>
      </c>
      <c r="D683" s="2" t="s">
        <v>12</v>
      </c>
      <c r="E683" s="2" t="s">
        <v>41</v>
      </c>
      <c r="F683" s="2" t="s">
        <v>42</v>
      </c>
      <c r="G683" s="4">
        <v>7983.38</v>
      </c>
      <c r="H683" s="4">
        <v>8400</v>
      </c>
    </row>
    <row r="684" spans="1:8" x14ac:dyDescent="0.2">
      <c r="A684" s="2">
        <v>100683</v>
      </c>
      <c r="B684" s="3">
        <v>46321</v>
      </c>
      <c r="C684" s="2" t="s">
        <v>46</v>
      </c>
      <c r="D684" s="2" t="s">
        <v>16</v>
      </c>
      <c r="E684" s="2" t="s">
        <v>47</v>
      </c>
      <c r="F684" s="2" t="s">
        <v>60</v>
      </c>
      <c r="G684" s="4">
        <v>8256.1299999999992</v>
      </c>
      <c r="H684" s="4">
        <v>7500</v>
      </c>
    </row>
    <row r="685" spans="1:8" x14ac:dyDescent="0.2">
      <c r="A685" s="2">
        <v>100684</v>
      </c>
      <c r="B685" s="3">
        <v>46317</v>
      </c>
      <c r="C685" s="2" t="s">
        <v>46</v>
      </c>
      <c r="D685" s="2" t="s">
        <v>9</v>
      </c>
      <c r="E685" s="2" t="s">
        <v>47</v>
      </c>
      <c r="F685" s="2" t="s">
        <v>50</v>
      </c>
      <c r="G685" s="4">
        <v>8508.58</v>
      </c>
      <c r="H685" s="4">
        <v>7500</v>
      </c>
    </row>
    <row r="686" spans="1:8" x14ac:dyDescent="0.2">
      <c r="A686" s="2">
        <v>100685</v>
      </c>
      <c r="B686" s="3">
        <v>46314</v>
      </c>
      <c r="C686" s="2" t="s">
        <v>46</v>
      </c>
      <c r="D686" s="2" t="s">
        <v>12</v>
      </c>
      <c r="E686" s="2" t="s">
        <v>20</v>
      </c>
      <c r="F686" s="2" t="s">
        <v>29</v>
      </c>
      <c r="G686" s="4">
        <v>704.23</v>
      </c>
      <c r="H686" s="4">
        <v>666.67</v>
      </c>
    </row>
    <row r="687" spans="1:8" x14ac:dyDescent="0.2">
      <c r="A687" s="2">
        <v>100686</v>
      </c>
      <c r="B687" s="3">
        <v>46320</v>
      </c>
      <c r="C687" s="2" t="s">
        <v>46</v>
      </c>
      <c r="D687" s="2" t="s">
        <v>12</v>
      </c>
      <c r="E687" s="2" t="s">
        <v>20</v>
      </c>
      <c r="F687" s="2" t="s">
        <v>28</v>
      </c>
      <c r="G687" s="4">
        <v>715.58</v>
      </c>
      <c r="H687" s="4">
        <v>666.67</v>
      </c>
    </row>
    <row r="688" spans="1:8" x14ac:dyDescent="0.2">
      <c r="A688" s="2">
        <v>100687</v>
      </c>
      <c r="B688" s="3">
        <v>46299</v>
      </c>
      <c r="C688" s="2" t="s">
        <v>46</v>
      </c>
      <c r="D688" s="2" t="s">
        <v>16</v>
      </c>
      <c r="E688" s="2" t="s">
        <v>20</v>
      </c>
      <c r="F688" s="2" t="s">
        <v>28</v>
      </c>
      <c r="G688" s="4">
        <v>535.30999999999995</v>
      </c>
      <c r="H688" s="4">
        <v>666.67</v>
      </c>
    </row>
    <row r="689" spans="1:8" x14ac:dyDescent="0.2">
      <c r="A689" s="2">
        <v>100688</v>
      </c>
      <c r="B689" s="3">
        <v>46313</v>
      </c>
      <c r="C689" s="2" t="s">
        <v>46</v>
      </c>
      <c r="D689" s="2" t="s">
        <v>12</v>
      </c>
      <c r="E689" s="2" t="s">
        <v>34</v>
      </c>
      <c r="F689" s="2" t="s">
        <v>38</v>
      </c>
      <c r="G689" s="4">
        <v>1310.6600000000001</v>
      </c>
      <c r="H689" s="4">
        <v>1166.67</v>
      </c>
    </row>
    <row r="690" spans="1:8" x14ac:dyDescent="0.2">
      <c r="A690" s="2">
        <v>100689</v>
      </c>
      <c r="B690" s="3">
        <v>46310</v>
      </c>
      <c r="C690" s="2" t="s">
        <v>46</v>
      </c>
      <c r="D690" s="2" t="s">
        <v>12</v>
      </c>
      <c r="E690" s="2" t="s">
        <v>34</v>
      </c>
      <c r="F690" s="2" t="s">
        <v>36</v>
      </c>
      <c r="G690" s="4">
        <v>1210.55</v>
      </c>
      <c r="H690" s="4">
        <v>1166.67</v>
      </c>
    </row>
    <row r="691" spans="1:8" x14ac:dyDescent="0.2">
      <c r="A691" s="2">
        <v>100690</v>
      </c>
      <c r="B691" s="3">
        <v>46317</v>
      </c>
      <c r="C691" s="2" t="s">
        <v>46</v>
      </c>
      <c r="D691" s="2" t="s">
        <v>16</v>
      </c>
      <c r="E691" s="2" t="s">
        <v>34</v>
      </c>
      <c r="F691" s="2" t="s">
        <v>38</v>
      </c>
      <c r="G691" s="4">
        <v>1145.1199999999999</v>
      </c>
      <c r="H691" s="4">
        <v>1166.67</v>
      </c>
    </row>
    <row r="692" spans="1:8" x14ac:dyDescent="0.2">
      <c r="A692" s="2">
        <v>100691</v>
      </c>
      <c r="B692" s="3">
        <v>46311</v>
      </c>
      <c r="C692" s="2" t="s">
        <v>52</v>
      </c>
      <c r="D692" s="2" t="s">
        <v>12</v>
      </c>
      <c r="E692" s="2" t="s">
        <v>41</v>
      </c>
      <c r="F692" s="2" t="s">
        <v>42</v>
      </c>
      <c r="G692" s="4">
        <v>15818.78</v>
      </c>
      <c r="H692" s="4">
        <v>12666.67</v>
      </c>
    </row>
    <row r="693" spans="1:8" x14ac:dyDescent="0.2">
      <c r="A693" s="2">
        <v>100692</v>
      </c>
      <c r="B693" s="3">
        <v>46298</v>
      </c>
      <c r="C693" s="2" t="s">
        <v>52</v>
      </c>
      <c r="D693" s="2" t="s">
        <v>12</v>
      </c>
      <c r="E693" s="2" t="s">
        <v>41</v>
      </c>
      <c r="F693" s="2" t="s">
        <v>42</v>
      </c>
      <c r="G693" s="4">
        <v>12134.51</v>
      </c>
      <c r="H693" s="4">
        <v>12666.67</v>
      </c>
    </row>
    <row r="694" spans="1:8" x14ac:dyDescent="0.2">
      <c r="A694" s="2">
        <v>100693</v>
      </c>
      <c r="B694" s="3">
        <v>46306</v>
      </c>
      <c r="C694" s="2" t="s">
        <v>52</v>
      </c>
      <c r="D694" s="2" t="s">
        <v>9</v>
      </c>
      <c r="E694" s="2" t="s">
        <v>41</v>
      </c>
      <c r="F694" s="2" t="s">
        <v>42</v>
      </c>
      <c r="G694" s="4">
        <v>11706.08</v>
      </c>
      <c r="H694" s="4">
        <v>12666.67</v>
      </c>
    </row>
    <row r="695" spans="1:8" x14ac:dyDescent="0.2">
      <c r="A695" s="2">
        <v>100694</v>
      </c>
      <c r="B695" s="3">
        <v>46299</v>
      </c>
      <c r="C695" s="2" t="s">
        <v>52</v>
      </c>
      <c r="D695" s="2" t="s">
        <v>12</v>
      </c>
      <c r="E695" s="2" t="s">
        <v>47</v>
      </c>
      <c r="F695" s="2" t="s">
        <v>48</v>
      </c>
      <c r="G695" s="4">
        <v>2464.4</v>
      </c>
      <c r="H695" s="4">
        <v>2666.67</v>
      </c>
    </row>
    <row r="696" spans="1:8" x14ac:dyDescent="0.2">
      <c r="A696" s="2">
        <v>100695</v>
      </c>
      <c r="B696" s="3">
        <v>46305</v>
      </c>
      <c r="C696" s="2" t="s">
        <v>52</v>
      </c>
      <c r="D696" s="2" t="s">
        <v>12</v>
      </c>
      <c r="E696" s="2" t="s">
        <v>47</v>
      </c>
      <c r="F696" s="2" t="s">
        <v>60</v>
      </c>
      <c r="G696" s="4">
        <v>2425.21</v>
      </c>
      <c r="H696" s="4">
        <v>2666.67</v>
      </c>
    </row>
    <row r="697" spans="1:8" x14ac:dyDescent="0.2">
      <c r="A697" s="2">
        <v>100696</v>
      </c>
      <c r="B697" s="3">
        <v>46306</v>
      </c>
      <c r="C697" s="2" t="s">
        <v>52</v>
      </c>
      <c r="D697" s="2" t="s">
        <v>9</v>
      </c>
      <c r="E697" s="2" t="s">
        <v>47</v>
      </c>
      <c r="F697" s="2" t="s">
        <v>60</v>
      </c>
      <c r="G697" s="4">
        <v>2030.11</v>
      </c>
      <c r="H697" s="4">
        <v>2666.67</v>
      </c>
    </row>
    <row r="698" spans="1:8" x14ac:dyDescent="0.2">
      <c r="A698" s="2">
        <v>100697</v>
      </c>
      <c r="B698" s="3">
        <v>46313</v>
      </c>
      <c r="C698" s="2" t="s">
        <v>52</v>
      </c>
      <c r="D698" s="2" t="s">
        <v>9</v>
      </c>
      <c r="E698" s="2" t="s">
        <v>34</v>
      </c>
      <c r="F698" s="2" t="s">
        <v>35</v>
      </c>
      <c r="G698" s="4">
        <v>2351.9899999999998</v>
      </c>
      <c r="H698" s="4">
        <v>2333.33</v>
      </c>
    </row>
    <row r="699" spans="1:8" x14ac:dyDescent="0.2">
      <c r="A699" s="2">
        <v>100698</v>
      </c>
      <c r="B699" s="3">
        <v>46310</v>
      </c>
      <c r="C699" s="2" t="s">
        <v>52</v>
      </c>
      <c r="D699" s="2" t="s">
        <v>12</v>
      </c>
      <c r="E699" s="2" t="s">
        <v>34</v>
      </c>
      <c r="F699" s="2" t="s">
        <v>35</v>
      </c>
      <c r="G699" s="4">
        <v>2403.16</v>
      </c>
      <c r="H699" s="4">
        <v>2333.33</v>
      </c>
    </row>
    <row r="700" spans="1:8" x14ac:dyDescent="0.2">
      <c r="A700" s="2">
        <v>100699</v>
      </c>
      <c r="B700" s="3">
        <v>46301</v>
      </c>
      <c r="C700" s="2" t="s">
        <v>52</v>
      </c>
      <c r="D700" s="2" t="s">
        <v>12</v>
      </c>
      <c r="E700" s="2" t="s">
        <v>34</v>
      </c>
      <c r="F700" s="2" t="s">
        <v>37</v>
      </c>
      <c r="G700" s="4">
        <v>2484.7199999999998</v>
      </c>
      <c r="H700" s="4">
        <v>2333.33</v>
      </c>
    </row>
    <row r="701" spans="1:8" x14ac:dyDescent="0.2">
      <c r="A701" s="2">
        <v>100700</v>
      </c>
      <c r="B701" s="3">
        <v>46302</v>
      </c>
      <c r="C701" s="2" t="s">
        <v>52</v>
      </c>
      <c r="D701" s="2" t="s">
        <v>9</v>
      </c>
      <c r="E701" s="2" t="s">
        <v>20</v>
      </c>
      <c r="F701" s="2" t="s">
        <v>31</v>
      </c>
      <c r="G701" s="4">
        <v>402.73</v>
      </c>
      <c r="H701" s="4">
        <v>360</v>
      </c>
    </row>
    <row r="702" spans="1:8" x14ac:dyDescent="0.2">
      <c r="A702" s="2">
        <v>100701</v>
      </c>
      <c r="B702" s="3">
        <v>46318</v>
      </c>
      <c r="C702" s="2" t="s">
        <v>52</v>
      </c>
      <c r="D702" s="2" t="s">
        <v>12</v>
      </c>
      <c r="E702" s="2" t="s">
        <v>20</v>
      </c>
      <c r="F702" s="2" t="s">
        <v>51</v>
      </c>
      <c r="G702" s="4">
        <v>339.99</v>
      </c>
      <c r="H702" s="4">
        <v>360</v>
      </c>
    </row>
    <row r="703" spans="1:8" x14ac:dyDescent="0.2">
      <c r="A703" s="2">
        <v>100702</v>
      </c>
      <c r="B703" s="3">
        <v>46318</v>
      </c>
      <c r="C703" s="2" t="s">
        <v>52</v>
      </c>
      <c r="D703" s="2" t="s">
        <v>9</v>
      </c>
      <c r="E703" s="2" t="s">
        <v>20</v>
      </c>
      <c r="F703" s="2" t="s">
        <v>21</v>
      </c>
      <c r="G703" s="4">
        <v>320.10000000000002</v>
      </c>
      <c r="H703" s="4">
        <v>360</v>
      </c>
    </row>
    <row r="704" spans="1:8" x14ac:dyDescent="0.2">
      <c r="A704" s="2">
        <v>100703</v>
      </c>
      <c r="B704" s="3">
        <v>46321</v>
      </c>
      <c r="C704" s="2" t="s">
        <v>52</v>
      </c>
      <c r="D704" s="2" t="s">
        <v>9</v>
      </c>
      <c r="E704" s="2" t="s">
        <v>20</v>
      </c>
      <c r="F704" s="2" t="s">
        <v>21</v>
      </c>
      <c r="G704" s="4">
        <v>373.92</v>
      </c>
      <c r="H704" s="4">
        <v>360</v>
      </c>
    </row>
    <row r="705" spans="1:8" x14ac:dyDescent="0.2">
      <c r="A705" s="2">
        <v>100704</v>
      </c>
      <c r="B705" s="3">
        <v>46302</v>
      </c>
      <c r="C705" s="2" t="s">
        <v>52</v>
      </c>
      <c r="D705" s="2" t="s">
        <v>9</v>
      </c>
      <c r="E705" s="2" t="s">
        <v>20</v>
      </c>
      <c r="F705" s="2" t="s">
        <v>31</v>
      </c>
      <c r="G705" s="4">
        <v>335.84</v>
      </c>
      <c r="H705" s="4">
        <v>360</v>
      </c>
    </row>
    <row r="706" spans="1:8" x14ac:dyDescent="0.2">
      <c r="A706" s="2">
        <v>100705</v>
      </c>
      <c r="B706" s="3">
        <v>46347</v>
      </c>
      <c r="C706" s="2" t="s">
        <v>8</v>
      </c>
      <c r="D706" s="2" t="s">
        <v>16</v>
      </c>
      <c r="E706" s="2" t="s">
        <v>10</v>
      </c>
      <c r="F706" s="2" t="s">
        <v>64</v>
      </c>
      <c r="G706" s="4">
        <v>113305.8</v>
      </c>
      <c r="H706" s="4">
        <v>90000</v>
      </c>
    </row>
    <row r="707" spans="1:8" x14ac:dyDescent="0.2">
      <c r="A707" s="2">
        <v>100706</v>
      </c>
      <c r="B707" s="3">
        <v>46330</v>
      </c>
      <c r="C707" s="2" t="s">
        <v>8</v>
      </c>
      <c r="D707" s="2" t="s">
        <v>12</v>
      </c>
      <c r="E707" s="2" t="s">
        <v>10</v>
      </c>
      <c r="F707" s="2" t="s">
        <v>64</v>
      </c>
      <c r="G707" s="4">
        <v>108289.15</v>
      </c>
      <c r="H707" s="4">
        <v>90000</v>
      </c>
    </row>
    <row r="708" spans="1:8" x14ac:dyDescent="0.2">
      <c r="A708" s="2">
        <v>100707</v>
      </c>
      <c r="B708" s="3">
        <v>46353</v>
      </c>
      <c r="C708" s="2" t="s">
        <v>8</v>
      </c>
      <c r="D708" s="2" t="s">
        <v>16</v>
      </c>
      <c r="E708" s="2" t="s">
        <v>14</v>
      </c>
      <c r="F708" s="2" t="s">
        <v>15</v>
      </c>
      <c r="G708" s="4">
        <v>4764.07</v>
      </c>
      <c r="H708" s="4">
        <v>4500</v>
      </c>
    </row>
    <row r="709" spans="1:8" x14ac:dyDescent="0.2">
      <c r="A709" s="2">
        <v>100708</v>
      </c>
      <c r="B709" s="3">
        <v>46348</v>
      </c>
      <c r="C709" s="2" t="s">
        <v>8</v>
      </c>
      <c r="D709" s="2" t="s">
        <v>12</v>
      </c>
      <c r="E709" s="2" t="s">
        <v>14</v>
      </c>
      <c r="F709" s="2" t="s">
        <v>15</v>
      </c>
      <c r="G709" s="4">
        <v>4702.88</v>
      </c>
      <c r="H709" s="4">
        <v>4500</v>
      </c>
    </row>
    <row r="710" spans="1:8" x14ac:dyDescent="0.2">
      <c r="A710" s="2">
        <v>100709</v>
      </c>
      <c r="B710" s="3">
        <v>46336</v>
      </c>
      <c r="C710" s="2" t="s">
        <v>8</v>
      </c>
      <c r="D710" s="2" t="s">
        <v>16</v>
      </c>
      <c r="E710" s="2" t="s">
        <v>14</v>
      </c>
      <c r="F710" s="2" t="s">
        <v>15</v>
      </c>
      <c r="G710" s="4">
        <v>3640.19</v>
      </c>
      <c r="H710" s="4">
        <v>4500</v>
      </c>
    </row>
    <row r="711" spans="1:8" x14ac:dyDescent="0.2">
      <c r="A711" s="2">
        <v>100710</v>
      </c>
      <c r="B711" s="3">
        <v>46331</v>
      </c>
      <c r="C711" s="2" t="s">
        <v>8</v>
      </c>
      <c r="D711" s="2" t="s">
        <v>9</v>
      </c>
      <c r="E711" s="2" t="s">
        <v>14</v>
      </c>
      <c r="F711" s="2" t="s">
        <v>15</v>
      </c>
      <c r="G711" s="4">
        <v>4214.9399999999996</v>
      </c>
      <c r="H711" s="4">
        <v>4500</v>
      </c>
    </row>
    <row r="712" spans="1:8" x14ac:dyDescent="0.2">
      <c r="A712" s="2">
        <v>100711</v>
      </c>
      <c r="B712" s="3">
        <v>46339</v>
      </c>
      <c r="C712" s="2" t="s">
        <v>8</v>
      </c>
      <c r="D712" s="2" t="s">
        <v>12</v>
      </c>
      <c r="E712" s="2" t="s">
        <v>17</v>
      </c>
      <c r="F712" s="2" t="s">
        <v>33</v>
      </c>
      <c r="G712" s="4">
        <v>655.15</v>
      </c>
      <c r="H712" s="4">
        <v>800</v>
      </c>
    </row>
    <row r="713" spans="1:8" x14ac:dyDescent="0.2">
      <c r="A713" s="2">
        <v>100712</v>
      </c>
      <c r="B713" s="3">
        <v>46344</v>
      </c>
      <c r="C713" s="2" t="s">
        <v>8</v>
      </c>
      <c r="D713" s="2" t="s">
        <v>9</v>
      </c>
      <c r="E713" s="2" t="s">
        <v>17</v>
      </c>
      <c r="F713" s="2" t="s">
        <v>58</v>
      </c>
      <c r="G713" s="4">
        <v>794.67</v>
      </c>
      <c r="H713" s="4">
        <v>800</v>
      </c>
    </row>
    <row r="714" spans="1:8" x14ac:dyDescent="0.2">
      <c r="A714" s="2">
        <v>100713</v>
      </c>
      <c r="B714" s="3">
        <v>46336</v>
      </c>
      <c r="C714" s="2" t="s">
        <v>8</v>
      </c>
      <c r="D714" s="2" t="s">
        <v>12</v>
      </c>
      <c r="E714" s="2" t="s">
        <v>17</v>
      </c>
      <c r="F714" s="2" t="s">
        <v>58</v>
      </c>
      <c r="G714" s="4">
        <v>666.75</v>
      </c>
      <c r="H714" s="4">
        <v>800</v>
      </c>
    </row>
    <row r="715" spans="1:8" x14ac:dyDescent="0.2">
      <c r="A715" s="2">
        <v>100714</v>
      </c>
      <c r="B715" s="3">
        <v>46341</v>
      </c>
      <c r="C715" s="2" t="s">
        <v>8</v>
      </c>
      <c r="D715" s="2" t="s">
        <v>9</v>
      </c>
      <c r="E715" s="2" t="s">
        <v>17</v>
      </c>
      <c r="F715" s="2" t="s">
        <v>32</v>
      </c>
      <c r="G715" s="4">
        <v>725.83</v>
      </c>
      <c r="H715" s="4">
        <v>800</v>
      </c>
    </row>
    <row r="716" spans="1:8" x14ac:dyDescent="0.2">
      <c r="A716" s="2">
        <v>100715</v>
      </c>
      <c r="B716" s="3">
        <v>46327</v>
      </c>
      <c r="C716" s="2" t="s">
        <v>8</v>
      </c>
      <c r="D716" s="2" t="s">
        <v>9</v>
      </c>
      <c r="E716" s="2" t="s">
        <v>17</v>
      </c>
      <c r="F716" s="2" t="s">
        <v>33</v>
      </c>
      <c r="G716" s="4">
        <v>946.21</v>
      </c>
      <c r="H716" s="4">
        <v>800</v>
      </c>
    </row>
    <row r="717" spans="1:8" x14ac:dyDescent="0.2">
      <c r="A717" s="2">
        <v>100716</v>
      </c>
      <c r="B717" s="3">
        <v>46344</v>
      </c>
      <c r="C717" s="2" t="s">
        <v>8</v>
      </c>
      <c r="D717" s="2" t="s">
        <v>9</v>
      </c>
      <c r="E717" s="2" t="s">
        <v>20</v>
      </c>
      <c r="F717" s="2" t="s">
        <v>30</v>
      </c>
      <c r="G717" s="4">
        <v>964.67</v>
      </c>
      <c r="H717" s="4">
        <v>833.33</v>
      </c>
    </row>
    <row r="718" spans="1:8" x14ac:dyDescent="0.2">
      <c r="A718" s="2">
        <v>100717</v>
      </c>
      <c r="B718" s="3">
        <v>46348</v>
      </c>
      <c r="C718" s="2" t="s">
        <v>8</v>
      </c>
      <c r="D718" s="2" t="s">
        <v>12</v>
      </c>
      <c r="E718" s="2" t="s">
        <v>20</v>
      </c>
      <c r="F718" s="2" t="s">
        <v>31</v>
      </c>
      <c r="G718" s="4">
        <v>831.24</v>
      </c>
      <c r="H718" s="4">
        <v>833.33</v>
      </c>
    </row>
    <row r="719" spans="1:8" x14ac:dyDescent="0.2">
      <c r="A719" s="2">
        <v>100718</v>
      </c>
      <c r="B719" s="3">
        <v>46341</v>
      </c>
      <c r="C719" s="2" t="s">
        <v>8</v>
      </c>
      <c r="D719" s="2" t="s">
        <v>16</v>
      </c>
      <c r="E719" s="2" t="s">
        <v>20</v>
      </c>
      <c r="F719" s="2" t="s">
        <v>31</v>
      </c>
      <c r="G719" s="4">
        <v>920.89</v>
      </c>
      <c r="H719" s="4">
        <v>833.33</v>
      </c>
    </row>
    <row r="720" spans="1:8" x14ac:dyDescent="0.2">
      <c r="A720" s="2">
        <v>100719</v>
      </c>
      <c r="B720" s="3">
        <v>46352</v>
      </c>
      <c r="C720" s="2" t="s">
        <v>23</v>
      </c>
      <c r="D720" s="2" t="s">
        <v>9</v>
      </c>
      <c r="E720" s="2" t="s">
        <v>24</v>
      </c>
      <c r="F720" s="2" t="s">
        <v>57</v>
      </c>
      <c r="G720" s="4">
        <v>12048.15</v>
      </c>
      <c r="H720" s="4">
        <v>11666.67</v>
      </c>
    </row>
    <row r="721" spans="1:8" x14ac:dyDescent="0.2">
      <c r="A721" s="2">
        <v>100720</v>
      </c>
      <c r="B721" s="3">
        <v>46334</v>
      </c>
      <c r="C721" s="2" t="s">
        <v>23</v>
      </c>
      <c r="D721" s="2" t="s">
        <v>16</v>
      </c>
      <c r="E721" s="2" t="s">
        <v>24</v>
      </c>
      <c r="F721" s="2" t="s">
        <v>26</v>
      </c>
      <c r="G721" s="4">
        <v>8940.7199999999993</v>
      </c>
      <c r="H721" s="4">
        <v>11666.67</v>
      </c>
    </row>
    <row r="722" spans="1:8" x14ac:dyDescent="0.2">
      <c r="A722" s="2">
        <v>100721</v>
      </c>
      <c r="B722" s="3">
        <v>46341</v>
      </c>
      <c r="C722" s="2" t="s">
        <v>23</v>
      </c>
      <c r="D722" s="2" t="s">
        <v>16</v>
      </c>
      <c r="E722" s="2" t="s">
        <v>24</v>
      </c>
      <c r="F722" s="2" t="s">
        <v>26</v>
      </c>
      <c r="G722" s="4">
        <v>9731.2199999999993</v>
      </c>
      <c r="H722" s="4">
        <v>11666.67</v>
      </c>
    </row>
    <row r="723" spans="1:8" x14ac:dyDescent="0.2">
      <c r="A723" s="2">
        <v>100722</v>
      </c>
      <c r="B723" s="3">
        <v>46345</v>
      </c>
      <c r="C723" s="2" t="s">
        <v>23</v>
      </c>
      <c r="D723" s="2" t="s">
        <v>12</v>
      </c>
      <c r="E723" s="2" t="s">
        <v>20</v>
      </c>
      <c r="F723" s="2" t="s">
        <v>22</v>
      </c>
      <c r="G723" s="4">
        <v>603.24</v>
      </c>
      <c r="H723" s="4">
        <v>600</v>
      </c>
    </row>
    <row r="724" spans="1:8" x14ac:dyDescent="0.2">
      <c r="A724" s="2">
        <v>100723</v>
      </c>
      <c r="B724" s="3">
        <v>46353</v>
      </c>
      <c r="C724" s="2" t="s">
        <v>23</v>
      </c>
      <c r="D724" s="2" t="s">
        <v>16</v>
      </c>
      <c r="E724" s="2" t="s">
        <v>20</v>
      </c>
      <c r="F724" s="2" t="s">
        <v>28</v>
      </c>
      <c r="G724" s="4">
        <v>682.53</v>
      </c>
      <c r="H724" s="4">
        <v>600</v>
      </c>
    </row>
    <row r="725" spans="1:8" x14ac:dyDescent="0.2">
      <c r="A725" s="2">
        <v>100724</v>
      </c>
      <c r="B725" s="3">
        <v>46328</v>
      </c>
      <c r="C725" s="2" t="s">
        <v>23</v>
      </c>
      <c r="D725" s="2" t="s">
        <v>12</v>
      </c>
      <c r="E725" s="2" t="s">
        <v>20</v>
      </c>
      <c r="F725" s="2" t="s">
        <v>21</v>
      </c>
      <c r="G725" s="4">
        <v>696.78</v>
      </c>
      <c r="H725" s="4">
        <v>600</v>
      </c>
    </row>
    <row r="726" spans="1:8" x14ac:dyDescent="0.2">
      <c r="A726" s="2">
        <v>100725</v>
      </c>
      <c r="B726" s="3">
        <v>46333</v>
      </c>
      <c r="C726" s="2" t="s">
        <v>23</v>
      </c>
      <c r="D726" s="2" t="s">
        <v>12</v>
      </c>
      <c r="E726" s="2" t="s">
        <v>20</v>
      </c>
      <c r="F726" s="2" t="s">
        <v>31</v>
      </c>
      <c r="G726" s="4">
        <v>582.41</v>
      </c>
      <c r="H726" s="4">
        <v>600</v>
      </c>
    </row>
    <row r="727" spans="1:8" x14ac:dyDescent="0.2">
      <c r="A727" s="2">
        <v>100726</v>
      </c>
      <c r="B727" s="3">
        <v>46347</v>
      </c>
      <c r="C727" s="2" t="s">
        <v>23</v>
      </c>
      <c r="D727" s="2" t="s">
        <v>9</v>
      </c>
      <c r="E727" s="2" t="s">
        <v>20</v>
      </c>
      <c r="F727" s="2" t="s">
        <v>21</v>
      </c>
      <c r="G727" s="4">
        <v>670.8</v>
      </c>
      <c r="H727" s="4">
        <v>600</v>
      </c>
    </row>
    <row r="728" spans="1:8" x14ac:dyDescent="0.2">
      <c r="A728" s="2">
        <v>100727</v>
      </c>
      <c r="B728" s="3">
        <v>46328</v>
      </c>
      <c r="C728" s="2" t="s">
        <v>23</v>
      </c>
      <c r="D728" s="2" t="s">
        <v>16</v>
      </c>
      <c r="E728" s="2" t="s">
        <v>17</v>
      </c>
      <c r="F728" s="2" t="s">
        <v>33</v>
      </c>
      <c r="G728" s="4">
        <v>989.5</v>
      </c>
      <c r="H728" s="4">
        <v>833.33</v>
      </c>
    </row>
    <row r="729" spans="1:8" x14ac:dyDescent="0.2">
      <c r="A729" s="2">
        <v>100728</v>
      </c>
      <c r="B729" s="3">
        <v>46353</v>
      </c>
      <c r="C729" s="2" t="s">
        <v>23</v>
      </c>
      <c r="D729" s="2" t="s">
        <v>16</v>
      </c>
      <c r="E729" s="2" t="s">
        <v>17</v>
      </c>
      <c r="F729" s="2" t="s">
        <v>18</v>
      </c>
      <c r="G729" s="4">
        <v>770.24</v>
      </c>
      <c r="H729" s="4">
        <v>833.33</v>
      </c>
    </row>
    <row r="730" spans="1:8" x14ac:dyDescent="0.2">
      <c r="A730" s="2">
        <v>100729</v>
      </c>
      <c r="B730" s="3">
        <v>46330</v>
      </c>
      <c r="C730" s="2" t="s">
        <v>23</v>
      </c>
      <c r="D730" s="2" t="s">
        <v>16</v>
      </c>
      <c r="E730" s="2" t="s">
        <v>17</v>
      </c>
      <c r="F730" s="2" t="s">
        <v>58</v>
      </c>
      <c r="G730" s="4">
        <v>985.54</v>
      </c>
      <c r="H730" s="4">
        <v>833.33</v>
      </c>
    </row>
    <row r="731" spans="1:8" x14ac:dyDescent="0.2">
      <c r="A731" s="2">
        <v>100730</v>
      </c>
      <c r="B731" s="3">
        <v>46338</v>
      </c>
      <c r="C731" s="2" t="s">
        <v>23</v>
      </c>
      <c r="D731" s="2" t="s">
        <v>12</v>
      </c>
      <c r="E731" s="2" t="s">
        <v>34</v>
      </c>
      <c r="F731" s="2" t="s">
        <v>38</v>
      </c>
      <c r="G731" s="4">
        <v>2087.92</v>
      </c>
      <c r="H731" s="4">
        <v>2000</v>
      </c>
    </row>
    <row r="732" spans="1:8" x14ac:dyDescent="0.2">
      <c r="A732" s="2">
        <v>100731</v>
      </c>
      <c r="B732" s="3">
        <v>46346</v>
      </c>
      <c r="C732" s="2" t="s">
        <v>23</v>
      </c>
      <c r="D732" s="2" t="s">
        <v>12</v>
      </c>
      <c r="E732" s="2" t="s">
        <v>34</v>
      </c>
      <c r="F732" s="2" t="s">
        <v>35</v>
      </c>
      <c r="G732" s="4">
        <v>1928.17</v>
      </c>
      <c r="H732" s="4">
        <v>2000</v>
      </c>
    </row>
    <row r="733" spans="1:8" x14ac:dyDescent="0.2">
      <c r="A733" s="2">
        <v>100732</v>
      </c>
      <c r="B733" s="3">
        <v>46352</v>
      </c>
      <c r="C733" s="2" t="s">
        <v>23</v>
      </c>
      <c r="D733" s="2" t="s">
        <v>9</v>
      </c>
      <c r="E733" s="2" t="s">
        <v>34</v>
      </c>
      <c r="F733" s="2" t="s">
        <v>39</v>
      </c>
      <c r="G733" s="4">
        <v>2313.5300000000002</v>
      </c>
      <c r="H733" s="4">
        <v>2000</v>
      </c>
    </row>
    <row r="734" spans="1:8" x14ac:dyDescent="0.2">
      <c r="A734" s="2">
        <v>100733</v>
      </c>
      <c r="B734" s="3">
        <v>46344</v>
      </c>
      <c r="C734" s="2" t="s">
        <v>40</v>
      </c>
      <c r="D734" s="2" t="s">
        <v>12</v>
      </c>
      <c r="E734" s="2" t="s">
        <v>41</v>
      </c>
      <c r="F734" s="2" t="s">
        <v>42</v>
      </c>
      <c r="G734" s="4">
        <v>21150.38</v>
      </c>
      <c r="H734" s="4">
        <v>23750</v>
      </c>
    </row>
    <row r="735" spans="1:8" x14ac:dyDescent="0.2">
      <c r="A735" s="2">
        <v>100734</v>
      </c>
      <c r="B735" s="3">
        <v>46336</v>
      </c>
      <c r="C735" s="2" t="s">
        <v>40</v>
      </c>
      <c r="D735" s="2" t="s">
        <v>16</v>
      </c>
      <c r="E735" s="2" t="s">
        <v>41</v>
      </c>
      <c r="F735" s="2" t="s">
        <v>42</v>
      </c>
      <c r="G735" s="4">
        <v>29438.13</v>
      </c>
      <c r="H735" s="4">
        <v>23750</v>
      </c>
    </row>
    <row r="736" spans="1:8" x14ac:dyDescent="0.2">
      <c r="A736" s="2">
        <v>100735</v>
      </c>
      <c r="B736" s="3">
        <v>46354</v>
      </c>
      <c r="C736" s="2" t="s">
        <v>40</v>
      </c>
      <c r="D736" s="2" t="s">
        <v>12</v>
      </c>
      <c r="E736" s="2" t="s">
        <v>41</v>
      </c>
      <c r="F736" s="2" t="s">
        <v>42</v>
      </c>
      <c r="G736" s="4">
        <v>20987.200000000001</v>
      </c>
      <c r="H736" s="4">
        <v>23750</v>
      </c>
    </row>
    <row r="737" spans="1:8" x14ac:dyDescent="0.2">
      <c r="A737" s="2">
        <v>100736</v>
      </c>
      <c r="B737" s="3">
        <v>46352</v>
      </c>
      <c r="C737" s="2" t="s">
        <v>40</v>
      </c>
      <c r="D737" s="2" t="s">
        <v>9</v>
      </c>
      <c r="E737" s="2" t="s">
        <v>41</v>
      </c>
      <c r="F737" s="2" t="s">
        <v>42</v>
      </c>
      <c r="G737" s="4">
        <v>29245.42</v>
      </c>
      <c r="H737" s="4">
        <v>23750</v>
      </c>
    </row>
    <row r="738" spans="1:8" x14ac:dyDescent="0.2">
      <c r="A738" s="2">
        <v>100737</v>
      </c>
      <c r="B738" s="3">
        <v>46331</v>
      </c>
      <c r="C738" s="2" t="s">
        <v>40</v>
      </c>
      <c r="D738" s="2" t="s">
        <v>16</v>
      </c>
      <c r="E738" s="2" t="s">
        <v>20</v>
      </c>
      <c r="F738" s="2" t="s">
        <v>29</v>
      </c>
      <c r="G738" s="4">
        <v>2662.93</v>
      </c>
      <c r="H738" s="4">
        <v>2250</v>
      </c>
    </row>
    <row r="739" spans="1:8" x14ac:dyDescent="0.2">
      <c r="A739" s="2">
        <v>100738</v>
      </c>
      <c r="B739" s="3">
        <v>46349</v>
      </c>
      <c r="C739" s="2" t="s">
        <v>40</v>
      </c>
      <c r="D739" s="2" t="s">
        <v>9</v>
      </c>
      <c r="E739" s="2" t="s">
        <v>20</v>
      </c>
      <c r="F739" s="2" t="s">
        <v>28</v>
      </c>
      <c r="G739" s="4">
        <v>1968.39</v>
      </c>
      <c r="H739" s="4">
        <v>2250</v>
      </c>
    </row>
    <row r="740" spans="1:8" x14ac:dyDescent="0.2">
      <c r="A740" s="2">
        <v>100739</v>
      </c>
      <c r="B740" s="3">
        <v>46331</v>
      </c>
      <c r="C740" s="2" t="s">
        <v>40</v>
      </c>
      <c r="D740" s="2" t="s">
        <v>12</v>
      </c>
      <c r="E740" s="2" t="s">
        <v>43</v>
      </c>
      <c r="F740" s="2" t="s">
        <v>44</v>
      </c>
      <c r="G740" s="4">
        <v>3785.4</v>
      </c>
      <c r="H740" s="4">
        <v>4000</v>
      </c>
    </row>
    <row r="741" spans="1:8" x14ac:dyDescent="0.2">
      <c r="A741" s="2">
        <v>100740</v>
      </c>
      <c r="B741" s="3">
        <v>46340</v>
      </c>
      <c r="C741" s="2" t="s">
        <v>40</v>
      </c>
      <c r="D741" s="2" t="s">
        <v>12</v>
      </c>
      <c r="E741" s="2" t="s">
        <v>43</v>
      </c>
      <c r="F741" s="2" t="s">
        <v>59</v>
      </c>
      <c r="G741" s="4">
        <v>3537.43</v>
      </c>
      <c r="H741" s="4">
        <v>4000</v>
      </c>
    </row>
    <row r="742" spans="1:8" x14ac:dyDescent="0.2">
      <c r="A742" s="2">
        <v>100741</v>
      </c>
      <c r="B742" s="3">
        <v>46352</v>
      </c>
      <c r="C742" s="2" t="s">
        <v>40</v>
      </c>
      <c r="D742" s="2" t="s">
        <v>16</v>
      </c>
      <c r="E742" s="2" t="s">
        <v>43</v>
      </c>
      <c r="F742" s="2" t="s">
        <v>45</v>
      </c>
      <c r="G742" s="4">
        <v>3151.03</v>
      </c>
      <c r="H742" s="4">
        <v>4000</v>
      </c>
    </row>
    <row r="743" spans="1:8" x14ac:dyDescent="0.2">
      <c r="A743" s="2">
        <v>100742</v>
      </c>
      <c r="B743" s="3">
        <v>46349</v>
      </c>
      <c r="C743" s="2" t="s">
        <v>40</v>
      </c>
      <c r="D743" s="2" t="s">
        <v>12</v>
      </c>
      <c r="E743" s="2" t="s">
        <v>34</v>
      </c>
      <c r="F743" s="2" t="s">
        <v>36</v>
      </c>
      <c r="G743" s="4">
        <v>1124.9000000000001</v>
      </c>
      <c r="H743" s="4">
        <v>1000</v>
      </c>
    </row>
    <row r="744" spans="1:8" x14ac:dyDescent="0.2">
      <c r="A744" s="2">
        <v>100743</v>
      </c>
      <c r="B744" s="3">
        <v>46337</v>
      </c>
      <c r="C744" s="2" t="s">
        <v>40</v>
      </c>
      <c r="D744" s="2" t="s">
        <v>16</v>
      </c>
      <c r="E744" s="2" t="s">
        <v>34</v>
      </c>
      <c r="F744" s="2" t="s">
        <v>38</v>
      </c>
      <c r="G744" s="4">
        <v>1225.1300000000001</v>
      </c>
      <c r="H744" s="4">
        <v>1000</v>
      </c>
    </row>
    <row r="745" spans="1:8" x14ac:dyDescent="0.2">
      <c r="A745" s="2">
        <v>100744</v>
      </c>
      <c r="B745" s="3">
        <v>46354</v>
      </c>
      <c r="C745" s="2" t="s">
        <v>40</v>
      </c>
      <c r="D745" s="2" t="s">
        <v>9</v>
      </c>
      <c r="E745" s="2" t="s">
        <v>34</v>
      </c>
      <c r="F745" s="2" t="s">
        <v>39</v>
      </c>
      <c r="G745" s="4">
        <v>1184.45</v>
      </c>
      <c r="H745" s="4">
        <v>1000</v>
      </c>
    </row>
    <row r="746" spans="1:8" x14ac:dyDescent="0.2">
      <c r="A746" s="2">
        <v>100745</v>
      </c>
      <c r="B746" s="3">
        <v>46347</v>
      </c>
      <c r="C746" s="2" t="s">
        <v>40</v>
      </c>
      <c r="D746" s="2" t="s">
        <v>12</v>
      </c>
      <c r="E746" s="2" t="s">
        <v>34</v>
      </c>
      <c r="F746" s="2" t="s">
        <v>36</v>
      </c>
      <c r="G746" s="4">
        <v>1236.08</v>
      </c>
      <c r="H746" s="4">
        <v>1000</v>
      </c>
    </row>
    <row r="747" spans="1:8" x14ac:dyDescent="0.2">
      <c r="A747" s="2">
        <v>100746</v>
      </c>
      <c r="B747" s="3">
        <v>46339</v>
      </c>
      <c r="C747" s="2" t="s">
        <v>40</v>
      </c>
      <c r="D747" s="2" t="s">
        <v>9</v>
      </c>
      <c r="E747" s="2" t="s">
        <v>34</v>
      </c>
      <c r="F747" s="2" t="s">
        <v>35</v>
      </c>
      <c r="G747" s="4">
        <v>1147.8399999999999</v>
      </c>
      <c r="H747" s="4">
        <v>1000</v>
      </c>
    </row>
    <row r="748" spans="1:8" x14ac:dyDescent="0.2">
      <c r="A748" s="2">
        <v>100747</v>
      </c>
      <c r="B748" s="3">
        <v>46337</v>
      </c>
      <c r="C748" s="2" t="s">
        <v>46</v>
      </c>
      <c r="D748" s="2" t="s">
        <v>9</v>
      </c>
      <c r="E748" s="2" t="s">
        <v>41</v>
      </c>
      <c r="F748" s="2" t="s">
        <v>42</v>
      </c>
      <c r="G748" s="4">
        <v>8377.7999999999993</v>
      </c>
      <c r="H748" s="4">
        <v>8400</v>
      </c>
    </row>
    <row r="749" spans="1:8" x14ac:dyDescent="0.2">
      <c r="A749" s="2">
        <v>100748</v>
      </c>
      <c r="B749" s="3">
        <v>46331</v>
      </c>
      <c r="C749" s="2" t="s">
        <v>46</v>
      </c>
      <c r="D749" s="2" t="s">
        <v>16</v>
      </c>
      <c r="E749" s="2" t="s">
        <v>41</v>
      </c>
      <c r="F749" s="2" t="s">
        <v>42</v>
      </c>
      <c r="G749" s="4">
        <v>8598.7000000000007</v>
      </c>
      <c r="H749" s="4">
        <v>8400</v>
      </c>
    </row>
    <row r="750" spans="1:8" x14ac:dyDescent="0.2">
      <c r="A750" s="2">
        <v>100749</v>
      </c>
      <c r="B750" s="3">
        <v>46351</v>
      </c>
      <c r="C750" s="2" t="s">
        <v>46</v>
      </c>
      <c r="D750" s="2" t="s">
        <v>16</v>
      </c>
      <c r="E750" s="2" t="s">
        <v>41</v>
      </c>
      <c r="F750" s="2" t="s">
        <v>42</v>
      </c>
      <c r="G750" s="4">
        <v>10055.450000000001</v>
      </c>
      <c r="H750" s="4">
        <v>8400</v>
      </c>
    </row>
    <row r="751" spans="1:8" x14ac:dyDescent="0.2">
      <c r="A751" s="2">
        <v>100750</v>
      </c>
      <c r="B751" s="3">
        <v>46352</v>
      </c>
      <c r="C751" s="2" t="s">
        <v>46</v>
      </c>
      <c r="D751" s="2" t="s">
        <v>9</v>
      </c>
      <c r="E751" s="2" t="s">
        <v>41</v>
      </c>
      <c r="F751" s="2" t="s">
        <v>42</v>
      </c>
      <c r="G751" s="4">
        <v>6718.21</v>
      </c>
      <c r="H751" s="4">
        <v>8400</v>
      </c>
    </row>
    <row r="752" spans="1:8" x14ac:dyDescent="0.2">
      <c r="A752" s="2">
        <v>100751</v>
      </c>
      <c r="B752" s="3">
        <v>46354</v>
      </c>
      <c r="C752" s="2" t="s">
        <v>46</v>
      </c>
      <c r="D752" s="2" t="s">
        <v>9</v>
      </c>
      <c r="E752" s="2" t="s">
        <v>41</v>
      </c>
      <c r="F752" s="2" t="s">
        <v>42</v>
      </c>
      <c r="G752" s="4">
        <v>6821.8</v>
      </c>
      <c r="H752" s="4">
        <v>8400</v>
      </c>
    </row>
    <row r="753" spans="1:8" x14ac:dyDescent="0.2">
      <c r="A753" s="2">
        <v>100752</v>
      </c>
      <c r="B753" s="3">
        <v>46340</v>
      </c>
      <c r="C753" s="2" t="s">
        <v>46</v>
      </c>
      <c r="D753" s="2" t="s">
        <v>16</v>
      </c>
      <c r="E753" s="2" t="s">
        <v>47</v>
      </c>
      <c r="F753" s="2" t="s">
        <v>49</v>
      </c>
      <c r="G753" s="4">
        <v>2251.0100000000002</v>
      </c>
      <c r="H753" s="4">
        <v>3000</v>
      </c>
    </row>
    <row r="754" spans="1:8" x14ac:dyDescent="0.2">
      <c r="A754" s="2">
        <v>100753</v>
      </c>
      <c r="B754" s="3">
        <v>46347</v>
      </c>
      <c r="C754" s="2" t="s">
        <v>46</v>
      </c>
      <c r="D754" s="2" t="s">
        <v>12</v>
      </c>
      <c r="E754" s="2" t="s">
        <v>47</v>
      </c>
      <c r="F754" s="2" t="s">
        <v>50</v>
      </c>
      <c r="G754" s="4">
        <v>3614.11</v>
      </c>
      <c r="H754" s="4">
        <v>3000</v>
      </c>
    </row>
    <row r="755" spans="1:8" x14ac:dyDescent="0.2">
      <c r="A755" s="2">
        <v>100754</v>
      </c>
      <c r="B755" s="3">
        <v>46335</v>
      </c>
      <c r="C755" s="2" t="s">
        <v>46</v>
      </c>
      <c r="D755" s="2" t="s">
        <v>9</v>
      </c>
      <c r="E755" s="2" t="s">
        <v>47</v>
      </c>
      <c r="F755" s="2" t="s">
        <v>60</v>
      </c>
      <c r="G755" s="4">
        <v>3561.64</v>
      </c>
      <c r="H755" s="4">
        <v>3000</v>
      </c>
    </row>
    <row r="756" spans="1:8" x14ac:dyDescent="0.2">
      <c r="A756" s="2">
        <v>100755</v>
      </c>
      <c r="B756" s="3">
        <v>46329</v>
      </c>
      <c r="C756" s="2" t="s">
        <v>46</v>
      </c>
      <c r="D756" s="2" t="s">
        <v>12</v>
      </c>
      <c r="E756" s="2" t="s">
        <v>47</v>
      </c>
      <c r="F756" s="2" t="s">
        <v>50</v>
      </c>
      <c r="G756" s="4">
        <v>2790.65</v>
      </c>
      <c r="H756" s="4">
        <v>3000</v>
      </c>
    </row>
    <row r="757" spans="1:8" x14ac:dyDescent="0.2">
      <c r="A757" s="2">
        <v>100756</v>
      </c>
      <c r="B757" s="3">
        <v>46332</v>
      </c>
      <c r="C757" s="2" t="s">
        <v>46</v>
      </c>
      <c r="D757" s="2" t="s">
        <v>12</v>
      </c>
      <c r="E757" s="2" t="s">
        <v>47</v>
      </c>
      <c r="F757" s="2" t="s">
        <v>60</v>
      </c>
      <c r="G757" s="4">
        <v>3605.7</v>
      </c>
      <c r="H757" s="4">
        <v>3000</v>
      </c>
    </row>
    <row r="758" spans="1:8" x14ac:dyDescent="0.2">
      <c r="A758" s="2">
        <v>100757</v>
      </c>
      <c r="B758" s="3">
        <v>46349</v>
      </c>
      <c r="C758" s="2" t="s">
        <v>46</v>
      </c>
      <c r="D758" s="2" t="s">
        <v>12</v>
      </c>
      <c r="E758" s="2" t="s">
        <v>20</v>
      </c>
      <c r="F758" s="2" t="s">
        <v>21</v>
      </c>
      <c r="G758" s="4">
        <v>361.1</v>
      </c>
      <c r="H758" s="4">
        <v>400</v>
      </c>
    </row>
    <row r="759" spans="1:8" x14ac:dyDescent="0.2">
      <c r="A759" s="2">
        <v>100758</v>
      </c>
      <c r="B759" s="3">
        <v>46329</v>
      </c>
      <c r="C759" s="2" t="s">
        <v>46</v>
      </c>
      <c r="D759" s="2" t="s">
        <v>9</v>
      </c>
      <c r="E759" s="2" t="s">
        <v>20</v>
      </c>
      <c r="F759" s="2" t="s">
        <v>29</v>
      </c>
      <c r="G759" s="4">
        <v>385.85</v>
      </c>
      <c r="H759" s="4">
        <v>400</v>
      </c>
    </row>
    <row r="760" spans="1:8" x14ac:dyDescent="0.2">
      <c r="A760" s="2">
        <v>100759</v>
      </c>
      <c r="B760" s="3">
        <v>46342</v>
      </c>
      <c r="C760" s="2" t="s">
        <v>46</v>
      </c>
      <c r="D760" s="2" t="s">
        <v>9</v>
      </c>
      <c r="E760" s="2" t="s">
        <v>20</v>
      </c>
      <c r="F760" s="2" t="s">
        <v>22</v>
      </c>
      <c r="G760" s="4">
        <v>300.22000000000003</v>
      </c>
      <c r="H760" s="4">
        <v>400</v>
      </c>
    </row>
    <row r="761" spans="1:8" x14ac:dyDescent="0.2">
      <c r="A761" s="2">
        <v>100760</v>
      </c>
      <c r="B761" s="3">
        <v>46343</v>
      </c>
      <c r="C761" s="2" t="s">
        <v>46</v>
      </c>
      <c r="D761" s="2" t="s">
        <v>9</v>
      </c>
      <c r="E761" s="2" t="s">
        <v>20</v>
      </c>
      <c r="F761" s="2" t="s">
        <v>29</v>
      </c>
      <c r="G761" s="4">
        <v>418.74</v>
      </c>
      <c r="H761" s="4">
        <v>400</v>
      </c>
    </row>
    <row r="762" spans="1:8" x14ac:dyDescent="0.2">
      <c r="A762" s="2">
        <v>100761</v>
      </c>
      <c r="B762" s="3">
        <v>46349</v>
      </c>
      <c r="C762" s="2" t="s">
        <v>46</v>
      </c>
      <c r="D762" s="2" t="s">
        <v>16</v>
      </c>
      <c r="E762" s="2" t="s">
        <v>20</v>
      </c>
      <c r="F762" s="2" t="s">
        <v>28</v>
      </c>
      <c r="G762" s="4">
        <v>301.86</v>
      </c>
      <c r="H762" s="4">
        <v>400</v>
      </c>
    </row>
    <row r="763" spans="1:8" x14ac:dyDescent="0.2">
      <c r="A763" s="2">
        <v>100762</v>
      </c>
      <c r="B763" s="3">
        <v>46342</v>
      </c>
      <c r="C763" s="2" t="s">
        <v>46</v>
      </c>
      <c r="D763" s="2" t="s">
        <v>16</v>
      </c>
      <c r="E763" s="2" t="s">
        <v>34</v>
      </c>
      <c r="F763" s="2" t="s">
        <v>39</v>
      </c>
      <c r="G763" s="4">
        <v>1919.78</v>
      </c>
      <c r="H763" s="4">
        <v>1750</v>
      </c>
    </row>
    <row r="764" spans="1:8" x14ac:dyDescent="0.2">
      <c r="A764" s="2">
        <v>100763</v>
      </c>
      <c r="B764" s="3">
        <v>46350</v>
      </c>
      <c r="C764" s="2" t="s">
        <v>46</v>
      </c>
      <c r="D764" s="2" t="s">
        <v>9</v>
      </c>
      <c r="E764" s="2" t="s">
        <v>34</v>
      </c>
      <c r="F764" s="2" t="s">
        <v>39</v>
      </c>
      <c r="G764" s="4">
        <v>1647.69</v>
      </c>
      <c r="H764" s="4">
        <v>1750</v>
      </c>
    </row>
    <row r="765" spans="1:8" x14ac:dyDescent="0.2">
      <c r="A765" s="2">
        <v>100764</v>
      </c>
      <c r="B765" s="3">
        <v>46336</v>
      </c>
      <c r="C765" s="2" t="s">
        <v>52</v>
      </c>
      <c r="D765" s="2" t="s">
        <v>12</v>
      </c>
      <c r="E765" s="2" t="s">
        <v>41</v>
      </c>
      <c r="F765" s="2" t="s">
        <v>42</v>
      </c>
      <c r="G765" s="4">
        <v>17741.84</v>
      </c>
      <c r="H765" s="4">
        <v>19000</v>
      </c>
    </row>
    <row r="766" spans="1:8" x14ac:dyDescent="0.2">
      <c r="A766" s="2">
        <v>100765</v>
      </c>
      <c r="B766" s="3">
        <v>46351</v>
      </c>
      <c r="C766" s="2" t="s">
        <v>52</v>
      </c>
      <c r="D766" s="2" t="s">
        <v>12</v>
      </c>
      <c r="E766" s="2" t="s">
        <v>41</v>
      </c>
      <c r="F766" s="2" t="s">
        <v>42</v>
      </c>
      <c r="G766" s="4">
        <v>21597.87</v>
      </c>
      <c r="H766" s="4">
        <v>19000</v>
      </c>
    </row>
    <row r="767" spans="1:8" x14ac:dyDescent="0.2">
      <c r="A767" s="2">
        <v>100766</v>
      </c>
      <c r="B767" s="3">
        <v>46327</v>
      </c>
      <c r="C767" s="2" t="s">
        <v>52</v>
      </c>
      <c r="D767" s="2" t="s">
        <v>9</v>
      </c>
      <c r="E767" s="2" t="s">
        <v>47</v>
      </c>
      <c r="F767" s="2" t="s">
        <v>49</v>
      </c>
      <c r="G767" s="4">
        <v>2707.34</v>
      </c>
      <c r="H767" s="4">
        <v>2666.67</v>
      </c>
    </row>
    <row r="768" spans="1:8" x14ac:dyDescent="0.2">
      <c r="A768" s="2">
        <v>100767</v>
      </c>
      <c r="B768" s="3">
        <v>46333</v>
      </c>
      <c r="C768" s="2" t="s">
        <v>52</v>
      </c>
      <c r="D768" s="2" t="s">
        <v>12</v>
      </c>
      <c r="E768" s="2" t="s">
        <v>47</v>
      </c>
      <c r="F768" s="2" t="s">
        <v>49</v>
      </c>
      <c r="G768" s="4">
        <v>2468.25</v>
      </c>
      <c r="H768" s="4">
        <v>2666.67</v>
      </c>
    </row>
    <row r="769" spans="1:8" x14ac:dyDescent="0.2">
      <c r="A769" s="2">
        <v>100768</v>
      </c>
      <c r="B769" s="3">
        <v>46341</v>
      </c>
      <c r="C769" s="2" t="s">
        <v>52</v>
      </c>
      <c r="D769" s="2" t="s">
        <v>12</v>
      </c>
      <c r="E769" s="2" t="s">
        <v>47</v>
      </c>
      <c r="F769" s="2" t="s">
        <v>49</v>
      </c>
      <c r="G769" s="4">
        <v>2821.43</v>
      </c>
      <c r="H769" s="4">
        <v>2666.67</v>
      </c>
    </row>
    <row r="770" spans="1:8" x14ac:dyDescent="0.2">
      <c r="A770" s="2">
        <v>100769</v>
      </c>
      <c r="B770" s="3">
        <v>46330</v>
      </c>
      <c r="C770" s="2" t="s">
        <v>52</v>
      </c>
      <c r="D770" s="2" t="s">
        <v>9</v>
      </c>
      <c r="E770" s="2" t="s">
        <v>34</v>
      </c>
      <c r="F770" s="2" t="s">
        <v>38</v>
      </c>
      <c r="G770" s="4">
        <v>2870.02</v>
      </c>
      <c r="H770" s="4">
        <v>3500</v>
      </c>
    </row>
    <row r="771" spans="1:8" x14ac:dyDescent="0.2">
      <c r="A771" s="2">
        <v>100770</v>
      </c>
      <c r="B771" s="3">
        <v>46340</v>
      </c>
      <c r="C771" s="2" t="s">
        <v>52</v>
      </c>
      <c r="D771" s="2" t="s">
        <v>12</v>
      </c>
      <c r="E771" s="2" t="s">
        <v>34</v>
      </c>
      <c r="F771" s="2" t="s">
        <v>36</v>
      </c>
      <c r="G771" s="4">
        <v>3240.19</v>
      </c>
      <c r="H771" s="4">
        <v>3500</v>
      </c>
    </row>
    <row r="772" spans="1:8" x14ac:dyDescent="0.2">
      <c r="A772" s="2">
        <v>100771</v>
      </c>
      <c r="B772" s="3">
        <v>46329</v>
      </c>
      <c r="C772" s="2" t="s">
        <v>52</v>
      </c>
      <c r="D772" s="2" t="s">
        <v>9</v>
      </c>
      <c r="E772" s="2" t="s">
        <v>20</v>
      </c>
      <c r="F772" s="2" t="s">
        <v>51</v>
      </c>
      <c r="G772" s="4">
        <v>533.09</v>
      </c>
      <c r="H772" s="4">
        <v>600</v>
      </c>
    </row>
    <row r="773" spans="1:8" x14ac:dyDescent="0.2">
      <c r="A773" s="2">
        <v>100772</v>
      </c>
      <c r="B773" s="3">
        <v>46349</v>
      </c>
      <c r="C773" s="2" t="s">
        <v>52</v>
      </c>
      <c r="D773" s="2" t="s">
        <v>12</v>
      </c>
      <c r="E773" s="2" t="s">
        <v>20</v>
      </c>
      <c r="F773" s="2" t="s">
        <v>22</v>
      </c>
      <c r="G773" s="4">
        <v>683.69</v>
      </c>
      <c r="H773" s="4">
        <v>600</v>
      </c>
    </row>
    <row r="774" spans="1:8" x14ac:dyDescent="0.2">
      <c r="A774" s="2">
        <v>100773</v>
      </c>
      <c r="B774" s="3">
        <v>46346</v>
      </c>
      <c r="C774" s="2" t="s">
        <v>52</v>
      </c>
      <c r="D774" s="2" t="s">
        <v>12</v>
      </c>
      <c r="E774" s="2" t="s">
        <v>20</v>
      </c>
      <c r="F774" s="2" t="s">
        <v>30</v>
      </c>
      <c r="G774" s="4">
        <v>511.63</v>
      </c>
      <c r="H774" s="4">
        <v>600</v>
      </c>
    </row>
    <row r="775" spans="1:8" x14ac:dyDescent="0.2">
      <c r="A775" s="2">
        <v>100774</v>
      </c>
      <c r="B775" s="3">
        <v>46382</v>
      </c>
      <c r="C775" s="2" t="s">
        <v>8</v>
      </c>
      <c r="D775" s="2" t="s">
        <v>12</v>
      </c>
      <c r="E775" s="2" t="s">
        <v>10</v>
      </c>
      <c r="F775" s="2" t="s">
        <v>61</v>
      </c>
      <c r="G775" s="4">
        <v>84462.11</v>
      </c>
      <c r="H775" s="4">
        <v>60000</v>
      </c>
    </row>
    <row r="776" spans="1:8" x14ac:dyDescent="0.2">
      <c r="A776" s="2">
        <v>100775</v>
      </c>
      <c r="B776" s="3">
        <v>46377</v>
      </c>
      <c r="C776" s="2" t="s">
        <v>8</v>
      </c>
      <c r="D776" s="2" t="s">
        <v>16</v>
      </c>
      <c r="E776" s="2" t="s">
        <v>10</v>
      </c>
      <c r="F776" s="2" t="s">
        <v>11</v>
      </c>
      <c r="G776" s="4">
        <v>69878.94</v>
      </c>
      <c r="H776" s="4">
        <v>60000</v>
      </c>
    </row>
    <row r="777" spans="1:8" x14ac:dyDescent="0.2">
      <c r="A777" s="2">
        <v>100776</v>
      </c>
      <c r="B777" s="3">
        <v>46368</v>
      </c>
      <c r="C777" s="2" t="s">
        <v>8</v>
      </c>
      <c r="D777" s="2" t="s">
        <v>12</v>
      </c>
      <c r="E777" s="2" t="s">
        <v>10</v>
      </c>
      <c r="F777" s="2" t="s">
        <v>64</v>
      </c>
      <c r="G777" s="4">
        <v>61634.41</v>
      </c>
      <c r="H777" s="4">
        <v>60000</v>
      </c>
    </row>
    <row r="778" spans="1:8" x14ac:dyDescent="0.2">
      <c r="A778" s="2">
        <v>100777</v>
      </c>
      <c r="B778" s="3">
        <v>46375</v>
      </c>
      <c r="C778" s="2" t="s">
        <v>8</v>
      </c>
      <c r="D778" s="2" t="s">
        <v>16</v>
      </c>
      <c r="E778" s="2" t="s">
        <v>14</v>
      </c>
      <c r="F778" s="2" t="s">
        <v>15</v>
      </c>
      <c r="G778" s="4">
        <v>7082.44</v>
      </c>
      <c r="H778" s="4">
        <v>6000</v>
      </c>
    </row>
    <row r="779" spans="1:8" x14ac:dyDescent="0.2">
      <c r="A779" s="2">
        <v>100778</v>
      </c>
      <c r="B779" s="3">
        <v>46362</v>
      </c>
      <c r="C779" s="2" t="s">
        <v>8</v>
      </c>
      <c r="D779" s="2" t="s">
        <v>16</v>
      </c>
      <c r="E779" s="2" t="s">
        <v>14</v>
      </c>
      <c r="F779" s="2" t="s">
        <v>15</v>
      </c>
      <c r="G779" s="4">
        <v>6139.07</v>
      </c>
      <c r="H779" s="4">
        <v>6000</v>
      </c>
    </row>
    <row r="780" spans="1:8" x14ac:dyDescent="0.2">
      <c r="A780" s="2">
        <v>100779</v>
      </c>
      <c r="B780" s="3">
        <v>46359</v>
      </c>
      <c r="C780" s="2" t="s">
        <v>8</v>
      </c>
      <c r="D780" s="2" t="s">
        <v>9</v>
      </c>
      <c r="E780" s="2" t="s">
        <v>14</v>
      </c>
      <c r="F780" s="2" t="s">
        <v>15</v>
      </c>
      <c r="G780" s="4">
        <v>4550.07</v>
      </c>
      <c r="H780" s="4">
        <v>6000</v>
      </c>
    </row>
    <row r="781" spans="1:8" x14ac:dyDescent="0.2">
      <c r="A781" s="2">
        <v>100780</v>
      </c>
      <c r="B781" s="3">
        <v>46358</v>
      </c>
      <c r="C781" s="2" t="s">
        <v>8</v>
      </c>
      <c r="D781" s="2" t="s">
        <v>9</v>
      </c>
      <c r="E781" s="2" t="s">
        <v>17</v>
      </c>
      <c r="F781" s="2" t="s">
        <v>33</v>
      </c>
      <c r="G781" s="4">
        <v>769.91</v>
      </c>
      <c r="H781" s="4">
        <v>1000</v>
      </c>
    </row>
    <row r="782" spans="1:8" x14ac:dyDescent="0.2">
      <c r="A782" s="2">
        <v>100781</v>
      </c>
      <c r="B782" s="3">
        <v>46379</v>
      </c>
      <c r="C782" s="2" t="s">
        <v>8</v>
      </c>
      <c r="D782" s="2" t="s">
        <v>12</v>
      </c>
      <c r="E782" s="2" t="s">
        <v>17</v>
      </c>
      <c r="F782" s="2" t="s">
        <v>32</v>
      </c>
      <c r="G782" s="4">
        <v>893.24</v>
      </c>
      <c r="H782" s="4">
        <v>1000</v>
      </c>
    </row>
    <row r="783" spans="1:8" x14ac:dyDescent="0.2">
      <c r="A783" s="2">
        <v>100782</v>
      </c>
      <c r="B783" s="3">
        <v>46369</v>
      </c>
      <c r="C783" s="2" t="s">
        <v>8</v>
      </c>
      <c r="D783" s="2" t="s">
        <v>16</v>
      </c>
      <c r="E783" s="2" t="s">
        <v>17</v>
      </c>
      <c r="F783" s="2" t="s">
        <v>18</v>
      </c>
      <c r="G783" s="4">
        <v>961.79</v>
      </c>
      <c r="H783" s="4">
        <v>1000</v>
      </c>
    </row>
    <row r="784" spans="1:8" x14ac:dyDescent="0.2">
      <c r="A784" s="2">
        <v>100783</v>
      </c>
      <c r="B784" s="3">
        <v>46376</v>
      </c>
      <c r="C784" s="2" t="s">
        <v>8</v>
      </c>
      <c r="D784" s="2" t="s">
        <v>12</v>
      </c>
      <c r="E784" s="2" t="s">
        <v>17</v>
      </c>
      <c r="F784" s="2" t="s">
        <v>58</v>
      </c>
      <c r="G784" s="4">
        <v>1018.28</v>
      </c>
      <c r="H784" s="4">
        <v>1000</v>
      </c>
    </row>
    <row r="785" spans="1:8" x14ac:dyDescent="0.2">
      <c r="A785" s="2">
        <v>100784</v>
      </c>
      <c r="B785" s="3">
        <v>46373</v>
      </c>
      <c r="C785" s="2" t="s">
        <v>8</v>
      </c>
      <c r="D785" s="2" t="s">
        <v>9</v>
      </c>
      <c r="E785" s="2" t="s">
        <v>20</v>
      </c>
      <c r="F785" s="2" t="s">
        <v>51</v>
      </c>
      <c r="G785" s="4">
        <v>565.6</v>
      </c>
      <c r="H785" s="4">
        <v>625</v>
      </c>
    </row>
    <row r="786" spans="1:8" x14ac:dyDescent="0.2">
      <c r="A786" s="2">
        <v>100785</v>
      </c>
      <c r="B786" s="3">
        <v>46369</v>
      </c>
      <c r="C786" s="2" t="s">
        <v>8</v>
      </c>
      <c r="D786" s="2" t="s">
        <v>9</v>
      </c>
      <c r="E786" s="2" t="s">
        <v>20</v>
      </c>
      <c r="F786" s="2" t="s">
        <v>30</v>
      </c>
      <c r="G786" s="4">
        <v>636.37</v>
      </c>
      <c r="H786" s="4">
        <v>625</v>
      </c>
    </row>
    <row r="787" spans="1:8" x14ac:dyDescent="0.2">
      <c r="A787" s="2">
        <v>100786</v>
      </c>
      <c r="B787" s="3">
        <v>46377</v>
      </c>
      <c r="C787" s="2" t="s">
        <v>8</v>
      </c>
      <c r="D787" s="2" t="s">
        <v>12</v>
      </c>
      <c r="E787" s="2" t="s">
        <v>20</v>
      </c>
      <c r="F787" s="2" t="s">
        <v>29</v>
      </c>
      <c r="G787" s="4">
        <v>707.26</v>
      </c>
      <c r="H787" s="4">
        <v>625</v>
      </c>
    </row>
    <row r="788" spans="1:8" x14ac:dyDescent="0.2">
      <c r="A788" s="2">
        <v>100787</v>
      </c>
      <c r="B788" s="3">
        <v>46379</v>
      </c>
      <c r="C788" s="2" t="s">
        <v>8</v>
      </c>
      <c r="D788" s="2" t="s">
        <v>12</v>
      </c>
      <c r="E788" s="2" t="s">
        <v>20</v>
      </c>
      <c r="F788" s="2" t="s">
        <v>31</v>
      </c>
      <c r="G788" s="4">
        <v>489.41</v>
      </c>
      <c r="H788" s="4">
        <v>625</v>
      </c>
    </row>
    <row r="789" spans="1:8" x14ac:dyDescent="0.2">
      <c r="A789" s="2">
        <v>100788</v>
      </c>
      <c r="B789" s="3">
        <v>46370</v>
      </c>
      <c r="C789" s="2" t="s">
        <v>23</v>
      </c>
      <c r="D789" s="2" t="s">
        <v>9</v>
      </c>
      <c r="E789" s="2" t="s">
        <v>24</v>
      </c>
      <c r="F789" s="2" t="s">
        <v>25</v>
      </c>
      <c r="G789" s="4">
        <v>10176.129999999999</v>
      </c>
      <c r="H789" s="4">
        <v>11666.67</v>
      </c>
    </row>
    <row r="790" spans="1:8" x14ac:dyDescent="0.2">
      <c r="A790" s="2">
        <v>100789</v>
      </c>
      <c r="B790" s="3">
        <v>46358</v>
      </c>
      <c r="C790" s="2" t="s">
        <v>23</v>
      </c>
      <c r="D790" s="2" t="s">
        <v>16</v>
      </c>
      <c r="E790" s="2" t="s">
        <v>24</v>
      </c>
      <c r="F790" s="2" t="s">
        <v>27</v>
      </c>
      <c r="G790" s="4">
        <v>12321.73</v>
      </c>
      <c r="H790" s="4">
        <v>11666.67</v>
      </c>
    </row>
    <row r="791" spans="1:8" x14ac:dyDescent="0.2">
      <c r="A791" s="2">
        <v>100790</v>
      </c>
      <c r="B791" s="3">
        <v>46380</v>
      </c>
      <c r="C791" s="2" t="s">
        <v>23</v>
      </c>
      <c r="D791" s="2" t="s">
        <v>12</v>
      </c>
      <c r="E791" s="2" t="s">
        <v>24</v>
      </c>
      <c r="F791" s="2" t="s">
        <v>57</v>
      </c>
      <c r="G791" s="4">
        <v>13076.55</v>
      </c>
      <c r="H791" s="4">
        <v>11666.67</v>
      </c>
    </row>
    <row r="792" spans="1:8" x14ac:dyDescent="0.2">
      <c r="A792" s="2">
        <v>100791</v>
      </c>
      <c r="B792" s="3">
        <v>46379</v>
      </c>
      <c r="C792" s="2" t="s">
        <v>23</v>
      </c>
      <c r="D792" s="2" t="s">
        <v>9</v>
      </c>
      <c r="E792" s="2" t="s">
        <v>20</v>
      </c>
      <c r="F792" s="2" t="s">
        <v>22</v>
      </c>
      <c r="G792" s="4">
        <v>1655.93</v>
      </c>
      <c r="H792" s="4">
        <v>1500</v>
      </c>
    </row>
    <row r="793" spans="1:8" x14ac:dyDescent="0.2">
      <c r="A793" s="2">
        <v>100792</v>
      </c>
      <c r="B793" s="3">
        <v>46368</v>
      </c>
      <c r="C793" s="2" t="s">
        <v>23</v>
      </c>
      <c r="D793" s="2" t="s">
        <v>9</v>
      </c>
      <c r="E793" s="2" t="s">
        <v>20</v>
      </c>
      <c r="F793" s="2" t="s">
        <v>30</v>
      </c>
      <c r="G793" s="4">
        <v>1497.31</v>
      </c>
      <c r="H793" s="4">
        <v>1500</v>
      </c>
    </row>
    <row r="794" spans="1:8" x14ac:dyDescent="0.2">
      <c r="A794" s="2">
        <v>100793</v>
      </c>
      <c r="B794" s="3">
        <v>46380</v>
      </c>
      <c r="C794" s="2" t="s">
        <v>23</v>
      </c>
      <c r="D794" s="2" t="s">
        <v>9</v>
      </c>
      <c r="E794" s="2" t="s">
        <v>17</v>
      </c>
      <c r="F794" s="2" t="s">
        <v>19</v>
      </c>
      <c r="G794" s="4">
        <v>584.96</v>
      </c>
      <c r="H794" s="4">
        <v>625</v>
      </c>
    </row>
    <row r="795" spans="1:8" x14ac:dyDescent="0.2">
      <c r="A795" s="2">
        <v>100794</v>
      </c>
      <c r="B795" s="3">
        <v>46381</v>
      </c>
      <c r="C795" s="2" t="s">
        <v>23</v>
      </c>
      <c r="D795" s="2" t="s">
        <v>12</v>
      </c>
      <c r="E795" s="2" t="s">
        <v>17</v>
      </c>
      <c r="F795" s="2" t="s">
        <v>18</v>
      </c>
      <c r="G795" s="4">
        <v>745.75</v>
      </c>
      <c r="H795" s="4">
        <v>625</v>
      </c>
    </row>
    <row r="796" spans="1:8" x14ac:dyDescent="0.2">
      <c r="A796" s="2">
        <v>100795</v>
      </c>
      <c r="B796" s="3">
        <v>46365</v>
      </c>
      <c r="C796" s="2" t="s">
        <v>23</v>
      </c>
      <c r="D796" s="2" t="s">
        <v>16</v>
      </c>
      <c r="E796" s="2" t="s">
        <v>17</v>
      </c>
      <c r="F796" s="2" t="s">
        <v>32</v>
      </c>
      <c r="G796" s="4">
        <v>720.97</v>
      </c>
      <c r="H796" s="4">
        <v>625</v>
      </c>
    </row>
    <row r="797" spans="1:8" x14ac:dyDescent="0.2">
      <c r="A797" s="2">
        <v>100796</v>
      </c>
      <c r="B797" s="3">
        <v>46375</v>
      </c>
      <c r="C797" s="2" t="s">
        <v>23</v>
      </c>
      <c r="D797" s="2" t="s">
        <v>9</v>
      </c>
      <c r="E797" s="2" t="s">
        <v>17</v>
      </c>
      <c r="F797" s="2" t="s">
        <v>18</v>
      </c>
      <c r="G797" s="4">
        <v>550.91999999999996</v>
      </c>
      <c r="H797" s="4">
        <v>625</v>
      </c>
    </row>
    <row r="798" spans="1:8" x14ac:dyDescent="0.2">
      <c r="A798" s="2">
        <v>100797</v>
      </c>
      <c r="B798" s="3">
        <v>46358</v>
      </c>
      <c r="C798" s="2" t="s">
        <v>23</v>
      </c>
      <c r="D798" s="2" t="s">
        <v>16</v>
      </c>
      <c r="E798" s="2" t="s">
        <v>34</v>
      </c>
      <c r="F798" s="2" t="s">
        <v>37</v>
      </c>
      <c r="G798" s="4">
        <v>1206.47</v>
      </c>
      <c r="H798" s="4">
        <v>1200</v>
      </c>
    </row>
    <row r="799" spans="1:8" x14ac:dyDescent="0.2">
      <c r="A799" s="2">
        <v>100798</v>
      </c>
      <c r="B799" s="3">
        <v>46362</v>
      </c>
      <c r="C799" s="2" t="s">
        <v>23</v>
      </c>
      <c r="D799" s="2" t="s">
        <v>12</v>
      </c>
      <c r="E799" s="2" t="s">
        <v>34</v>
      </c>
      <c r="F799" s="2" t="s">
        <v>36</v>
      </c>
      <c r="G799" s="4">
        <v>1000.13</v>
      </c>
      <c r="H799" s="4">
        <v>1200</v>
      </c>
    </row>
    <row r="800" spans="1:8" x14ac:dyDescent="0.2">
      <c r="A800" s="2">
        <v>100799</v>
      </c>
      <c r="B800" s="3">
        <v>46378</v>
      </c>
      <c r="C800" s="2" t="s">
        <v>23</v>
      </c>
      <c r="D800" s="2" t="s">
        <v>9</v>
      </c>
      <c r="E800" s="2" t="s">
        <v>34</v>
      </c>
      <c r="F800" s="2" t="s">
        <v>39</v>
      </c>
      <c r="G800" s="4">
        <v>1436.56</v>
      </c>
      <c r="H800" s="4">
        <v>1200</v>
      </c>
    </row>
    <row r="801" spans="1:8" x14ac:dyDescent="0.2">
      <c r="A801" s="2">
        <v>100800</v>
      </c>
      <c r="B801" s="3">
        <v>46357</v>
      </c>
      <c r="C801" s="2" t="s">
        <v>23</v>
      </c>
      <c r="D801" s="2" t="s">
        <v>9</v>
      </c>
      <c r="E801" s="2" t="s">
        <v>34</v>
      </c>
      <c r="F801" s="2" t="s">
        <v>39</v>
      </c>
      <c r="G801" s="4">
        <v>1344.47</v>
      </c>
      <c r="H801" s="4">
        <v>1200</v>
      </c>
    </row>
    <row r="802" spans="1:8" x14ac:dyDescent="0.2">
      <c r="A802" s="2">
        <v>100801</v>
      </c>
      <c r="B802" s="3">
        <v>46372</v>
      </c>
      <c r="C802" s="2" t="s">
        <v>23</v>
      </c>
      <c r="D802" s="2" t="s">
        <v>9</v>
      </c>
      <c r="E802" s="2" t="s">
        <v>34</v>
      </c>
      <c r="F802" s="2" t="s">
        <v>36</v>
      </c>
      <c r="G802" s="4">
        <v>1046.73</v>
      </c>
      <c r="H802" s="4">
        <v>1200</v>
      </c>
    </row>
    <row r="803" spans="1:8" x14ac:dyDescent="0.2">
      <c r="A803" s="2">
        <v>100802</v>
      </c>
      <c r="B803" s="3">
        <v>46384</v>
      </c>
      <c r="C803" s="2" t="s">
        <v>40</v>
      </c>
      <c r="D803" s="2" t="s">
        <v>9</v>
      </c>
      <c r="E803" s="2" t="s">
        <v>41</v>
      </c>
      <c r="F803" s="2" t="s">
        <v>42</v>
      </c>
      <c r="G803" s="4">
        <v>15950.13</v>
      </c>
      <c r="H803" s="4">
        <v>19000</v>
      </c>
    </row>
    <row r="804" spans="1:8" x14ac:dyDescent="0.2">
      <c r="A804" s="2">
        <v>100803</v>
      </c>
      <c r="B804" s="3">
        <v>46379</v>
      </c>
      <c r="C804" s="2" t="s">
        <v>40</v>
      </c>
      <c r="D804" s="2" t="s">
        <v>12</v>
      </c>
      <c r="E804" s="2" t="s">
        <v>41</v>
      </c>
      <c r="F804" s="2" t="s">
        <v>42</v>
      </c>
      <c r="G804" s="4">
        <v>21879.599999999999</v>
      </c>
      <c r="H804" s="4">
        <v>19000</v>
      </c>
    </row>
    <row r="805" spans="1:8" x14ac:dyDescent="0.2">
      <c r="A805" s="2">
        <v>100804</v>
      </c>
      <c r="B805" s="3">
        <v>46370</v>
      </c>
      <c r="C805" s="2" t="s">
        <v>40</v>
      </c>
      <c r="D805" s="2" t="s">
        <v>9</v>
      </c>
      <c r="E805" s="2" t="s">
        <v>41</v>
      </c>
      <c r="F805" s="2" t="s">
        <v>42</v>
      </c>
      <c r="G805" s="4">
        <v>17307.12</v>
      </c>
      <c r="H805" s="4">
        <v>19000</v>
      </c>
    </row>
    <row r="806" spans="1:8" x14ac:dyDescent="0.2">
      <c r="A806" s="2">
        <v>100805</v>
      </c>
      <c r="B806" s="3">
        <v>46375</v>
      </c>
      <c r="C806" s="2" t="s">
        <v>40</v>
      </c>
      <c r="D806" s="2" t="s">
        <v>16</v>
      </c>
      <c r="E806" s="2" t="s">
        <v>41</v>
      </c>
      <c r="F806" s="2" t="s">
        <v>42</v>
      </c>
      <c r="G806" s="4">
        <v>22096.97</v>
      </c>
      <c r="H806" s="4">
        <v>19000</v>
      </c>
    </row>
    <row r="807" spans="1:8" x14ac:dyDescent="0.2">
      <c r="A807" s="2">
        <v>100806</v>
      </c>
      <c r="B807" s="3">
        <v>46358</v>
      </c>
      <c r="C807" s="2" t="s">
        <v>40</v>
      </c>
      <c r="D807" s="2" t="s">
        <v>9</v>
      </c>
      <c r="E807" s="2" t="s">
        <v>41</v>
      </c>
      <c r="F807" s="2" t="s">
        <v>42</v>
      </c>
      <c r="G807" s="4">
        <v>19019.39</v>
      </c>
      <c r="H807" s="4">
        <v>19000</v>
      </c>
    </row>
    <row r="808" spans="1:8" x14ac:dyDescent="0.2">
      <c r="A808" s="2">
        <v>100807</v>
      </c>
      <c r="B808" s="3">
        <v>46369</v>
      </c>
      <c r="C808" s="2" t="s">
        <v>40</v>
      </c>
      <c r="D808" s="2" t="s">
        <v>12</v>
      </c>
      <c r="E808" s="2" t="s">
        <v>20</v>
      </c>
      <c r="F808" s="2" t="s">
        <v>22</v>
      </c>
      <c r="G808" s="4">
        <v>1861.06</v>
      </c>
      <c r="H808" s="4">
        <v>1500</v>
      </c>
    </row>
    <row r="809" spans="1:8" x14ac:dyDescent="0.2">
      <c r="A809" s="2">
        <v>100808</v>
      </c>
      <c r="B809" s="3">
        <v>46381</v>
      </c>
      <c r="C809" s="2" t="s">
        <v>40</v>
      </c>
      <c r="D809" s="2" t="s">
        <v>16</v>
      </c>
      <c r="E809" s="2" t="s">
        <v>20</v>
      </c>
      <c r="F809" s="2" t="s">
        <v>21</v>
      </c>
      <c r="G809" s="4">
        <v>1774.52</v>
      </c>
      <c r="H809" s="4">
        <v>1500</v>
      </c>
    </row>
    <row r="810" spans="1:8" x14ac:dyDescent="0.2">
      <c r="A810" s="2">
        <v>100809</v>
      </c>
      <c r="B810" s="3">
        <v>46374</v>
      </c>
      <c r="C810" s="2" t="s">
        <v>40</v>
      </c>
      <c r="D810" s="2" t="s">
        <v>16</v>
      </c>
      <c r="E810" s="2" t="s">
        <v>20</v>
      </c>
      <c r="F810" s="2" t="s">
        <v>31</v>
      </c>
      <c r="G810" s="4">
        <v>1370.48</v>
      </c>
      <c r="H810" s="4">
        <v>1500</v>
      </c>
    </row>
    <row r="811" spans="1:8" x14ac:dyDescent="0.2">
      <c r="A811" s="2">
        <v>100810</v>
      </c>
      <c r="B811" s="3">
        <v>46375</v>
      </c>
      <c r="C811" s="2" t="s">
        <v>40</v>
      </c>
      <c r="D811" s="2" t="s">
        <v>16</v>
      </c>
      <c r="E811" s="2" t="s">
        <v>43</v>
      </c>
      <c r="F811" s="2" t="s">
        <v>59</v>
      </c>
      <c r="G811" s="4">
        <v>5102.01</v>
      </c>
      <c r="H811" s="4">
        <v>6000</v>
      </c>
    </row>
    <row r="812" spans="1:8" x14ac:dyDescent="0.2">
      <c r="A812" s="2">
        <v>100811</v>
      </c>
      <c r="B812" s="3">
        <v>46371</v>
      </c>
      <c r="C812" s="2" t="s">
        <v>40</v>
      </c>
      <c r="D812" s="2" t="s">
        <v>12</v>
      </c>
      <c r="E812" s="2" t="s">
        <v>43</v>
      </c>
      <c r="F812" s="2" t="s">
        <v>59</v>
      </c>
      <c r="G812" s="4">
        <v>6368.15</v>
      </c>
      <c r="H812" s="4">
        <v>6000</v>
      </c>
    </row>
    <row r="813" spans="1:8" x14ac:dyDescent="0.2">
      <c r="A813" s="2">
        <v>100812</v>
      </c>
      <c r="B813" s="3">
        <v>46374</v>
      </c>
      <c r="C813" s="2" t="s">
        <v>40</v>
      </c>
      <c r="D813" s="2" t="s">
        <v>9</v>
      </c>
      <c r="E813" s="2" t="s">
        <v>34</v>
      </c>
      <c r="F813" s="2" t="s">
        <v>35</v>
      </c>
      <c r="G813" s="4">
        <v>1116.23</v>
      </c>
      <c r="H813" s="4">
        <v>1000</v>
      </c>
    </row>
    <row r="814" spans="1:8" x14ac:dyDescent="0.2">
      <c r="A814" s="2">
        <v>100813</v>
      </c>
      <c r="B814" s="3">
        <v>46370</v>
      </c>
      <c r="C814" s="2" t="s">
        <v>40</v>
      </c>
      <c r="D814" s="2" t="s">
        <v>9</v>
      </c>
      <c r="E814" s="2" t="s">
        <v>34</v>
      </c>
      <c r="F814" s="2" t="s">
        <v>39</v>
      </c>
      <c r="G814" s="4">
        <v>753.19</v>
      </c>
      <c r="H814" s="4">
        <v>1000</v>
      </c>
    </row>
    <row r="815" spans="1:8" x14ac:dyDescent="0.2">
      <c r="A815" s="2">
        <v>100814</v>
      </c>
      <c r="B815" s="3">
        <v>46377</v>
      </c>
      <c r="C815" s="2" t="s">
        <v>40</v>
      </c>
      <c r="D815" s="2" t="s">
        <v>9</v>
      </c>
      <c r="E815" s="2" t="s">
        <v>34</v>
      </c>
      <c r="F815" s="2" t="s">
        <v>39</v>
      </c>
      <c r="G815" s="4">
        <v>1020.77</v>
      </c>
      <c r="H815" s="4">
        <v>1000</v>
      </c>
    </row>
    <row r="816" spans="1:8" x14ac:dyDescent="0.2">
      <c r="A816" s="2">
        <v>100815</v>
      </c>
      <c r="B816" s="3">
        <v>46378</v>
      </c>
      <c r="C816" s="2" t="s">
        <v>40</v>
      </c>
      <c r="D816" s="2" t="s">
        <v>16</v>
      </c>
      <c r="E816" s="2" t="s">
        <v>34</v>
      </c>
      <c r="F816" s="2" t="s">
        <v>37</v>
      </c>
      <c r="G816" s="4">
        <v>750.73</v>
      </c>
      <c r="H816" s="4">
        <v>1000</v>
      </c>
    </row>
    <row r="817" spans="1:8" x14ac:dyDescent="0.2">
      <c r="A817" s="2">
        <v>100816</v>
      </c>
      <c r="B817" s="3">
        <v>46360</v>
      </c>
      <c r="C817" s="2" t="s">
        <v>40</v>
      </c>
      <c r="D817" s="2" t="s">
        <v>12</v>
      </c>
      <c r="E817" s="2" t="s">
        <v>34</v>
      </c>
      <c r="F817" s="2" t="s">
        <v>35</v>
      </c>
      <c r="G817" s="4">
        <v>1113.6099999999999</v>
      </c>
      <c r="H817" s="4">
        <v>1000</v>
      </c>
    </row>
    <row r="818" spans="1:8" x14ac:dyDescent="0.2">
      <c r="A818" s="2">
        <v>100817</v>
      </c>
      <c r="B818" s="3">
        <v>46358</v>
      </c>
      <c r="C818" s="2" t="s">
        <v>46</v>
      </c>
      <c r="D818" s="2" t="s">
        <v>16</v>
      </c>
      <c r="E818" s="2" t="s">
        <v>41</v>
      </c>
      <c r="F818" s="2" t="s">
        <v>42</v>
      </c>
      <c r="G818" s="4">
        <v>13944.2</v>
      </c>
      <c r="H818" s="4">
        <v>14000</v>
      </c>
    </row>
    <row r="819" spans="1:8" x14ac:dyDescent="0.2">
      <c r="A819" s="2">
        <v>100818</v>
      </c>
      <c r="B819" s="3">
        <v>46358</v>
      </c>
      <c r="C819" s="2" t="s">
        <v>46</v>
      </c>
      <c r="D819" s="2" t="s">
        <v>12</v>
      </c>
      <c r="E819" s="2" t="s">
        <v>41</v>
      </c>
      <c r="F819" s="2" t="s">
        <v>42</v>
      </c>
      <c r="G819" s="4">
        <v>12458.78</v>
      </c>
      <c r="H819" s="4">
        <v>14000</v>
      </c>
    </row>
    <row r="820" spans="1:8" x14ac:dyDescent="0.2">
      <c r="A820" s="2">
        <v>100819</v>
      </c>
      <c r="B820" s="3">
        <v>46368</v>
      </c>
      <c r="C820" s="2" t="s">
        <v>46</v>
      </c>
      <c r="D820" s="2" t="s">
        <v>12</v>
      </c>
      <c r="E820" s="2" t="s">
        <v>41</v>
      </c>
      <c r="F820" s="2" t="s">
        <v>42</v>
      </c>
      <c r="G820" s="4">
        <v>13391.4</v>
      </c>
      <c r="H820" s="4">
        <v>14000</v>
      </c>
    </row>
    <row r="821" spans="1:8" x14ac:dyDescent="0.2">
      <c r="A821" s="2">
        <v>100820</v>
      </c>
      <c r="B821" s="3">
        <v>46361</v>
      </c>
      <c r="C821" s="2" t="s">
        <v>46</v>
      </c>
      <c r="D821" s="2" t="s">
        <v>12</v>
      </c>
      <c r="E821" s="2" t="s">
        <v>47</v>
      </c>
      <c r="F821" s="2" t="s">
        <v>48</v>
      </c>
      <c r="G821" s="4">
        <v>5983.41</v>
      </c>
      <c r="H821" s="4">
        <v>7500</v>
      </c>
    </row>
    <row r="822" spans="1:8" x14ac:dyDescent="0.2">
      <c r="A822" s="2">
        <v>100821</v>
      </c>
      <c r="B822" s="3">
        <v>46358</v>
      </c>
      <c r="C822" s="2" t="s">
        <v>46</v>
      </c>
      <c r="D822" s="2" t="s">
        <v>9</v>
      </c>
      <c r="E822" s="2" t="s">
        <v>47</v>
      </c>
      <c r="F822" s="2" t="s">
        <v>48</v>
      </c>
      <c r="G822" s="4">
        <v>7844.61</v>
      </c>
      <c r="H822" s="4">
        <v>7500</v>
      </c>
    </row>
    <row r="823" spans="1:8" x14ac:dyDescent="0.2">
      <c r="A823" s="2">
        <v>100822</v>
      </c>
      <c r="B823" s="3">
        <v>46384</v>
      </c>
      <c r="C823" s="2" t="s">
        <v>46</v>
      </c>
      <c r="D823" s="2" t="s">
        <v>9</v>
      </c>
      <c r="E823" s="2" t="s">
        <v>20</v>
      </c>
      <c r="F823" s="2" t="s">
        <v>28</v>
      </c>
      <c r="G823" s="4">
        <v>597.23</v>
      </c>
      <c r="H823" s="4">
        <v>666.67</v>
      </c>
    </row>
    <row r="824" spans="1:8" x14ac:dyDescent="0.2">
      <c r="A824" s="2">
        <v>100823</v>
      </c>
      <c r="B824" s="3">
        <v>46380</v>
      </c>
      <c r="C824" s="2" t="s">
        <v>46</v>
      </c>
      <c r="D824" s="2" t="s">
        <v>16</v>
      </c>
      <c r="E824" s="2" t="s">
        <v>20</v>
      </c>
      <c r="F824" s="2" t="s">
        <v>28</v>
      </c>
      <c r="G824" s="4">
        <v>733.58</v>
      </c>
      <c r="H824" s="4">
        <v>666.67</v>
      </c>
    </row>
    <row r="825" spans="1:8" x14ac:dyDescent="0.2">
      <c r="A825" s="2">
        <v>100824</v>
      </c>
      <c r="B825" s="3">
        <v>46364</v>
      </c>
      <c r="C825" s="2" t="s">
        <v>46</v>
      </c>
      <c r="D825" s="2" t="s">
        <v>16</v>
      </c>
      <c r="E825" s="2" t="s">
        <v>20</v>
      </c>
      <c r="F825" s="2" t="s">
        <v>22</v>
      </c>
      <c r="G825" s="4">
        <v>650.91999999999996</v>
      </c>
      <c r="H825" s="4">
        <v>666.67</v>
      </c>
    </row>
    <row r="826" spans="1:8" x14ac:dyDescent="0.2">
      <c r="A826" s="2">
        <v>100825</v>
      </c>
      <c r="B826" s="3">
        <v>46375</v>
      </c>
      <c r="C826" s="2" t="s">
        <v>46</v>
      </c>
      <c r="D826" s="2" t="s">
        <v>9</v>
      </c>
      <c r="E826" s="2" t="s">
        <v>34</v>
      </c>
      <c r="F826" s="2" t="s">
        <v>39</v>
      </c>
      <c r="G826" s="4">
        <v>1329.96</v>
      </c>
      <c r="H826" s="4">
        <v>1166.67</v>
      </c>
    </row>
    <row r="827" spans="1:8" x14ac:dyDescent="0.2">
      <c r="A827" s="2">
        <v>100826</v>
      </c>
      <c r="B827" s="3">
        <v>46371</v>
      </c>
      <c r="C827" s="2" t="s">
        <v>46</v>
      </c>
      <c r="D827" s="2" t="s">
        <v>9</v>
      </c>
      <c r="E827" s="2" t="s">
        <v>34</v>
      </c>
      <c r="F827" s="2" t="s">
        <v>37</v>
      </c>
      <c r="G827" s="4">
        <v>936.63</v>
      </c>
      <c r="H827" s="4">
        <v>1166.67</v>
      </c>
    </row>
    <row r="828" spans="1:8" x14ac:dyDescent="0.2">
      <c r="A828" s="2">
        <v>100827</v>
      </c>
      <c r="B828" s="3">
        <v>46374</v>
      </c>
      <c r="C828" s="2" t="s">
        <v>46</v>
      </c>
      <c r="D828" s="2" t="s">
        <v>16</v>
      </c>
      <c r="E828" s="2" t="s">
        <v>34</v>
      </c>
      <c r="F828" s="2" t="s">
        <v>36</v>
      </c>
      <c r="G828" s="4">
        <v>1112.1300000000001</v>
      </c>
      <c r="H828" s="4">
        <v>1166.67</v>
      </c>
    </row>
    <row r="829" spans="1:8" x14ac:dyDescent="0.2">
      <c r="A829" s="2">
        <v>100828</v>
      </c>
      <c r="B829" s="3">
        <v>46365</v>
      </c>
      <c r="C829" s="2" t="s">
        <v>52</v>
      </c>
      <c r="D829" s="2" t="s">
        <v>12</v>
      </c>
      <c r="E829" s="2" t="s">
        <v>41</v>
      </c>
      <c r="F829" s="2" t="s">
        <v>42</v>
      </c>
      <c r="G829" s="4">
        <v>11452.62</v>
      </c>
      <c r="H829" s="4">
        <v>12666.67</v>
      </c>
    </row>
    <row r="830" spans="1:8" x14ac:dyDescent="0.2">
      <c r="A830" s="2">
        <v>100829</v>
      </c>
      <c r="B830" s="3">
        <v>46378</v>
      </c>
      <c r="C830" s="2" t="s">
        <v>52</v>
      </c>
      <c r="D830" s="2" t="s">
        <v>9</v>
      </c>
      <c r="E830" s="2" t="s">
        <v>41</v>
      </c>
      <c r="F830" s="2" t="s">
        <v>42</v>
      </c>
      <c r="G830" s="4">
        <v>10498.23</v>
      </c>
      <c r="H830" s="4">
        <v>12666.67</v>
      </c>
    </row>
    <row r="831" spans="1:8" x14ac:dyDescent="0.2">
      <c r="A831" s="2">
        <v>100830</v>
      </c>
      <c r="B831" s="3">
        <v>46384</v>
      </c>
      <c r="C831" s="2" t="s">
        <v>52</v>
      </c>
      <c r="D831" s="2" t="s">
        <v>9</v>
      </c>
      <c r="E831" s="2" t="s">
        <v>41</v>
      </c>
      <c r="F831" s="2" t="s">
        <v>42</v>
      </c>
      <c r="G831" s="4">
        <v>10861.8</v>
      </c>
      <c r="H831" s="4">
        <v>12666.67</v>
      </c>
    </row>
    <row r="832" spans="1:8" x14ac:dyDescent="0.2">
      <c r="A832" s="2">
        <v>100831</v>
      </c>
      <c r="B832" s="3">
        <v>46368</v>
      </c>
      <c r="C832" s="2" t="s">
        <v>52</v>
      </c>
      <c r="D832" s="2" t="s">
        <v>9</v>
      </c>
      <c r="E832" s="2" t="s">
        <v>47</v>
      </c>
      <c r="F832" s="2" t="s">
        <v>48</v>
      </c>
      <c r="G832" s="4">
        <v>2948.21</v>
      </c>
      <c r="H832" s="4">
        <v>2666.67</v>
      </c>
    </row>
    <row r="833" spans="1:8" x14ac:dyDescent="0.2">
      <c r="A833" s="2">
        <v>100832</v>
      </c>
      <c r="B833" s="3">
        <v>46365</v>
      </c>
      <c r="C833" s="2" t="s">
        <v>52</v>
      </c>
      <c r="D833" s="2" t="s">
        <v>9</v>
      </c>
      <c r="E833" s="2" t="s">
        <v>47</v>
      </c>
      <c r="F833" s="2" t="s">
        <v>49</v>
      </c>
      <c r="G833" s="4">
        <v>2902.91</v>
      </c>
      <c r="H833" s="4">
        <v>2666.67</v>
      </c>
    </row>
    <row r="834" spans="1:8" x14ac:dyDescent="0.2">
      <c r="A834" s="2">
        <v>100833</v>
      </c>
      <c r="B834" s="3">
        <v>46384</v>
      </c>
      <c r="C834" s="2" t="s">
        <v>52</v>
      </c>
      <c r="D834" s="2" t="s">
        <v>9</v>
      </c>
      <c r="E834" s="2" t="s">
        <v>47</v>
      </c>
      <c r="F834" s="2" t="s">
        <v>48</v>
      </c>
      <c r="G834" s="4">
        <v>3269.46</v>
      </c>
      <c r="H834" s="4">
        <v>2666.67</v>
      </c>
    </row>
    <row r="835" spans="1:8" x14ac:dyDescent="0.2">
      <c r="A835" s="2">
        <v>100834</v>
      </c>
      <c r="B835" s="3">
        <v>46382</v>
      </c>
      <c r="C835" s="2" t="s">
        <v>52</v>
      </c>
      <c r="D835" s="2" t="s">
        <v>9</v>
      </c>
      <c r="E835" s="2" t="s">
        <v>34</v>
      </c>
      <c r="F835" s="2" t="s">
        <v>35</v>
      </c>
      <c r="G835" s="4">
        <v>2289.0500000000002</v>
      </c>
      <c r="H835" s="4">
        <v>2333.33</v>
      </c>
    </row>
    <row r="836" spans="1:8" x14ac:dyDescent="0.2">
      <c r="A836" s="2">
        <v>100835</v>
      </c>
      <c r="B836" s="3">
        <v>46383</v>
      </c>
      <c r="C836" s="2" t="s">
        <v>52</v>
      </c>
      <c r="D836" s="2" t="s">
        <v>9</v>
      </c>
      <c r="E836" s="2" t="s">
        <v>34</v>
      </c>
      <c r="F836" s="2" t="s">
        <v>35</v>
      </c>
      <c r="G836" s="4">
        <v>1763.95</v>
      </c>
      <c r="H836" s="4">
        <v>2333.33</v>
      </c>
    </row>
    <row r="837" spans="1:8" x14ac:dyDescent="0.2">
      <c r="A837" s="2">
        <v>100836</v>
      </c>
      <c r="B837" s="3">
        <v>46369</v>
      </c>
      <c r="C837" s="2" t="s">
        <v>52</v>
      </c>
      <c r="D837" s="2" t="s">
        <v>9</v>
      </c>
      <c r="E837" s="2" t="s">
        <v>34</v>
      </c>
      <c r="F837" s="2" t="s">
        <v>36</v>
      </c>
      <c r="G837" s="4">
        <v>1981.16</v>
      </c>
      <c r="H837" s="4">
        <v>2333.33</v>
      </c>
    </row>
    <row r="838" spans="1:8" x14ac:dyDescent="0.2">
      <c r="A838" s="2">
        <v>100837</v>
      </c>
      <c r="B838" s="3">
        <v>46359</v>
      </c>
      <c r="C838" s="2" t="s">
        <v>52</v>
      </c>
      <c r="D838" s="2" t="s">
        <v>12</v>
      </c>
      <c r="E838" s="2" t="s">
        <v>20</v>
      </c>
      <c r="F838" s="2" t="s">
        <v>22</v>
      </c>
      <c r="G838" s="4">
        <v>1087.8399999999999</v>
      </c>
      <c r="H838" s="4">
        <v>900</v>
      </c>
    </row>
    <row r="839" spans="1:8" x14ac:dyDescent="0.2">
      <c r="A839" s="2">
        <v>100838</v>
      </c>
      <c r="B839" s="3">
        <v>46377</v>
      </c>
      <c r="C839" s="2" t="s">
        <v>52</v>
      </c>
      <c r="D839" s="2" t="s">
        <v>9</v>
      </c>
      <c r="E839" s="2" t="s">
        <v>20</v>
      </c>
      <c r="F839" s="2" t="s">
        <v>31</v>
      </c>
      <c r="G839" s="4">
        <v>763.99</v>
      </c>
      <c r="H839" s="4">
        <v>900</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PivotBudgetFine</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Matthew Farrington</cp:lastModifiedBy>
  <cp:revision>0</cp:revision>
  <dcterms:created xsi:type="dcterms:W3CDTF">2026-07-01T00:09:58Z</dcterms:created>
  <dcterms:modified xsi:type="dcterms:W3CDTF">2026-07-01T02:16:06Z</dcterms:modified>
  <dc:language>en-US</dc:language>
</cp:coreProperties>
</file>