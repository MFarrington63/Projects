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tthewfarrington/Downloads/"/>
    </mc:Choice>
  </mc:AlternateContent>
  <xr:revisionPtr revIDLastSave="0" documentId="13_ncr:1_{88C9C8A0-76F9-874B-B8BD-9FEBBB10C5D0}" xr6:coauthVersionLast="47" xr6:coauthVersionMax="47" xr10:uidLastSave="{00000000-0000-0000-0000-000000000000}"/>
  <bookViews>
    <workbookView xWindow="14400" yWindow="660" windowWidth="15000" windowHeight="18460" tabRatio="500" activeTab="1" xr2:uid="{00000000-000D-0000-FFFF-FFFF00000000}"/>
  </bookViews>
  <sheets>
    <sheet name="Raw Data" sheetId="1" r:id="rId1"/>
    <sheet name="Comps Outpu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F12" i="2"/>
  <c r="G12" i="2"/>
  <c r="H12" i="2"/>
  <c r="I12" i="2"/>
  <c r="J12" i="2"/>
  <c r="K12" i="2"/>
  <c r="L12" i="2"/>
  <c r="M12" i="2"/>
  <c r="N12" i="2"/>
  <c r="D12" i="2"/>
  <c r="E11" i="2"/>
  <c r="F11" i="2"/>
  <c r="G11" i="2"/>
  <c r="H11" i="2"/>
  <c r="I11" i="2"/>
  <c r="J11" i="2"/>
  <c r="K11" i="2"/>
  <c r="L11" i="2"/>
  <c r="M11" i="2"/>
  <c r="N11" i="2"/>
  <c r="D11" i="2"/>
  <c r="N6" i="2"/>
  <c r="N7" i="2"/>
  <c r="N8" i="2"/>
  <c r="N9" i="2"/>
  <c r="N10" i="2"/>
  <c r="N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L5" i="2"/>
  <c r="M5" i="2"/>
  <c r="K5" i="2"/>
  <c r="G6" i="2" a="1"/>
  <c r="G6" i="2" s="1"/>
  <c r="G7" i="2" a="1"/>
  <c r="G7" i="2" s="1"/>
  <c r="G8" i="2" a="1"/>
  <c r="G8" i="2" s="1"/>
  <c r="G9" i="2" a="1"/>
  <c r="G9" i="2" s="1"/>
  <c r="G10" i="2" a="1"/>
  <c r="G10" i="2" s="1"/>
  <c r="G5" i="2" a="1"/>
  <c r="G5" i="2" s="1"/>
  <c r="F6" i="2"/>
  <c r="F7" i="2"/>
  <c r="F8" i="2"/>
  <c r="F9" i="2"/>
  <c r="F10" i="2"/>
  <c r="F5" i="2"/>
  <c r="E5" i="2" a="1"/>
  <c r="E5" i="2" s="1"/>
  <c r="E6" i="2" a="1"/>
  <c r="E6" i="2" s="1"/>
  <c r="E7" i="2" a="1"/>
  <c r="E7" i="2" s="1"/>
  <c r="E8" i="2" a="1"/>
  <c r="E8" i="2" s="1"/>
  <c r="E9" i="2" a="1"/>
  <c r="E9" i="2"/>
  <c r="E10" i="2" a="1"/>
  <c r="E10" i="2" s="1"/>
  <c r="D10" i="2"/>
  <c r="D9" i="2"/>
  <c r="D8" i="2"/>
  <c r="D7" i="2"/>
  <c r="D6" i="2"/>
  <c r="D5" i="2"/>
  <c r="C6" i="2"/>
  <c r="C7" i="2"/>
  <c r="C8" i="2"/>
  <c r="C9" i="2"/>
  <c r="C10" i="2"/>
  <c r="C5" i="2"/>
  <c r="B5" i="2"/>
  <c r="B6" i="2"/>
  <c r="B7" i="2"/>
  <c r="B8" i="2"/>
  <c r="B9" i="2"/>
  <c r="B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<sst xmlns="http://schemas.openxmlformats.org/spreadsheetml/2006/main" count="61" uniqueCount="49">
  <si>
    <t>NZX COMPS — RAW DATA</t>
  </si>
  <si>
    <t>Source: NZX / Company Annual Reports (FY2024 actuals, NZD millions unless noted)</t>
  </si>
  <si>
    <t>Ticker</t>
  </si>
  <si>
    <t>Company Name</t>
  </si>
  <si>
    <t>Sector</t>
  </si>
  <si>
    <t>Share Price (NZD)</t>
  </si>
  <si>
    <t>Shares Outstanding (mm)</t>
  </si>
  <si>
    <t>Revenue ($mm)</t>
  </si>
  <si>
    <t>EBITDA ($mm)</t>
  </si>
  <si>
    <t>EBIT ($mm)</t>
  </si>
  <si>
    <t>Net Income ($mm)</t>
  </si>
  <si>
    <t>Total Debt ($mm)</t>
  </si>
  <si>
    <t>Cash ($mm)</t>
  </si>
  <si>
    <t>CapEx ($mm)</t>
  </si>
  <si>
    <t>Depreciation ($mm)</t>
  </si>
  <si>
    <t>FPH</t>
  </si>
  <si>
    <t>Fisher &amp; Paykel Healthcare</t>
  </si>
  <si>
    <t>Healthcare</t>
  </si>
  <si>
    <t>MEL</t>
  </si>
  <si>
    <t>Meridian Energy</t>
  </si>
  <si>
    <t>Utilities</t>
  </si>
  <si>
    <t>AIA</t>
  </si>
  <si>
    <t>Auckland Intl Airport</t>
  </si>
  <si>
    <t>Infrastructure</t>
  </si>
  <si>
    <t>SPK</t>
  </si>
  <si>
    <t>Spark New Zealand</t>
  </si>
  <si>
    <t>Telecom</t>
  </si>
  <si>
    <t>MFT</t>
  </si>
  <si>
    <t>Mainfreight</t>
  </si>
  <si>
    <t>Logistics</t>
  </si>
  <si>
    <t>RYM</t>
  </si>
  <si>
    <t>Ryman Healthcare</t>
  </si>
  <si>
    <t>Healthcare/Property</t>
  </si>
  <si>
    <t>NOTES</t>
  </si>
  <si>
    <t>All figures in NZD millions (NZDm) unless otherwise stated.</t>
  </si>
  <si>
    <t>Share Price as at market close 27-Jun-2026. Shares Outstanding in millions.</t>
  </si>
  <si>
    <t>RYM Net Income is negative (loss) — shown in parentheses per financial modelling convention.</t>
  </si>
  <si>
    <t>Source: NZX filings, company annual reports, NZX company pages (FY2024 results).</t>
  </si>
  <si>
    <t>NZX COMPARABLE COMPANIES ANALYSIS</t>
  </si>
  <si>
    <t>Company</t>
  </si>
  <si>
    <t>Mkt Cap ($mm)</t>
  </si>
  <si>
    <t>Net Debt ($mm)</t>
  </si>
  <si>
    <t>EV ($mm)</t>
  </si>
  <si>
    <t>EV/Revenue</t>
  </si>
  <si>
    <t>EV/EBITDA</t>
  </si>
  <si>
    <t>EV/EBIT</t>
  </si>
  <si>
    <t>P/E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</si>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</sst>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#,##0;\(#,##0\);\-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i/>
      <sz val="9"/>
      <color rgb="FF555555"/>
      <name val="Arial"/>
      <charset val="1"/>
    </font>
    <font>
      <i/>
      <sz val="9"/>
      <color rgb="FFCC0000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9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EF3F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1" fillId="7" borderId="0" xfId="0" applyFont="1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/>
    </xf>
    <xf numFmtId="0" fontId="0" fillId="0" borderId="1" xfId="0" applyBorder="1"/>
    <xf numFmtId="0" fontId="9" fillId="4" borderId="1" xfId="0" applyFont="1" applyFill="1" applyBorder="1" applyAlignment="1">
      <alignment horizontal="left"/>
    </xf>
    <xf numFmtId="0" fontId="10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opLeftCell="E1" zoomScaleNormal="100" workbookViewId="0"/>
  </sheetViews>
  <sheetFormatPr baseColWidth="10" defaultColWidth="8.6640625" defaultRowHeight="15" x14ac:dyDescent="0.2"/>
  <cols>
    <col min="1" max="1" width="8" customWidth="1"/>
    <col min="2" max="2" width="26" customWidth="1"/>
    <col min="3" max="13" width="18" customWidth="1"/>
  </cols>
  <sheetData>
    <row r="1" spans="1:13" ht="18" x14ac:dyDescent="0.2">
      <c r="A1" s="2" t="s">
        <v>0</v>
      </c>
    </row>
    <row r="2" spans="1:13" x14ac:dyDescent="0.2">
      <c r="A2" s="3" t="s">
        <v>1</v>
      </c>
    </row>
    <row r="4" spans="1:13" ht="36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ht="18" customHeight="1" x14ac:dyDescent="0.2">
      <c r="A5" s="5" t="s">
        <v>15</v>
      </c>
      <c r="B5" s="5" t="s">
        <v>16</v>
      </c>
      <c r="C5" s="5" t="s">
        <v>17</v>
      </c>
      <c r="D5" s="6">
        <v>24.5</v>
      </c>
      <c r="E5" s="7">
        <v>577</v>
      </c>
      <c r="F5" s="7">
        <v>1827</v>
      </c>
      <c r="G5" s="7">
        <v>478</v>
      </c>
      <c r="H5" s="7">
        <v>373</v>
      </c>
      <c r="I5" s="7">
        <v>310</v>
      </c>
      <c r="J5" s="7">
        <v>285</v>
      </c>
      <c r="K5" s="7">
        <v>312</v>
      </c>
      <c r="L5" s="7">
        <v>115</v>
      </c>
      <c r="M5" s="7">
        <v>105</v>
      </c>
    </row>
    <row r="6" spans="1:13" ht="18" customHeight="1" x14ac:dyDescent="0.2">
      <c r="A6" s="8" t="s">
        <v>18</v>
      </c>
      <c r="B6" s="8" t="s">
        <v>19</v>
      </c>
      <c r="C6" s="8" t="s">
        <v>20</v>
      </c>
      <c r="D6" s="9">
        <v>5.62</v>
      </c>
      <c r="E6" s="10">
        <v>2753</v>
      </c>
      <c r="F6" s="10">
        <v>2103</v>
      </c>
      <c r="G6" s="10">
        <v>1210</v>
      </c>
      <c r="H6" s="10">
        <v>890</v>
      </c>
      <c r="I6" s="10">
        <v>602</v>
      </c>
      <c r="J6" s="10">
        <v>2880</v>
      </c>
      <c r="K6" s="10">
        <v>89</v>
      </c>
      <c r="L6" s="10">
        <v>340</v>
      </c>
      <c r="M6" s="10">
        <v>320</v>
      </c>
    </row>
    <row r="7" spans="1:13" ht="18" customHeight="1" x14ac:dyDescent="0.2">
      <c r="A7" s="5" t="s">
        <v>21</v>
      </c>
      <c r="B7" s="5" t="s">
        <v>22</v>
      </c>
      <c r="C7" s="5" t="s">
        <v>23</v>
      </c>
      <c r="D7" s="6">
        <v>7.85</v>
      </c>
      <c r="E7" s="7">
        <v>1317</v>
      </c>
      <c r="F7" s="7">
        <v>726</v>
      </c>
      <c r="G7" s="7">
        <v>503</v>
      </c>
      <c r="H7" s="7">
        <v>285</v>
      </c>
      <c r="I7" s="7">
        <v>178</v>
      </c>
      <c r="J7" s="7">
        <v>2650</v>
      </c>
      <c r="K7" s="7">
        <v>195</v>
      </c>
      <c r="L7" s="7">
        <v>380</v>
      </c>
      <c r="M7" s="7">
        <v>218</v>
      </c>
    </row>
    <row r="8" spans="1:13" ht="18" customHeight="1" x14ac:dyDescent="0.2">
      <c r="A8" s="8" t="s">
        <v>24</v>
      </c>
      <c r="B8" s="8" t="s">
        <v>25</v>
      </c>
      <c r="C8" s="8" t="s">
        <v>26</v>
      </c>
      <c r="D8" s="9">
        <v>3.21</v>
      </c>
      <c r="E8" s="10">
        <v>1863</v>
      </c>
      <c r="F8" s="10">
        <v>3782</v>
      </c>
      <c r="G8" s="10">
        <v>956</v>
      </c>
      <c r="H8" s="10">
        <v>446</v>
      </c>
      <c r="I8" s="10">
        <v>210</v>
      </c>
      <c r="J8" s="10">
        <v>1920</v>
      </c>
      <c r="K8" s="10">
        <v>215</v>
      </c>
      <c r="L8" s="10">
        <v>430</v>
      </c>
      <c r="M8" s="10">
        <v>510</v>
      </c>
    </row>
    <row r="9" spans="1:13" ht="18" customHeight="1" x14ac:dyDescent="0.2">
      <c r="A9" s="5" t="s">
        <v>27</v>
      </c>
      <c r="B9" s="5" t="s">
        <v>28</v>
      </c>
      <c r="C9" s="5" t="s">
        <v>29</v>
      </c>
      <c r="D9" s="6">
        <v>63.4</v>
      </c>
      <c r="E9" s="7">
        <v>103</v>
      </c>
      <c r="F9" s="7">
        <v>4980</v>
      </c>
      <c r="G9" s="7">
        <v>620</v>
      </c>
      <c r="H9" s="7">
        <v>545</v>
      </c>
      <c r="I9" s="7">
        <v>382</v>
      </c>
      <c r="J9" s="7">
        <v>340</v>
      </c>
      <c r="K9" s="7">
        <v>510</v>
      </c>
      <c r="L9" s="7">
        <v>210</v>
      </c>
      <c r="M9" s="7">
        <v>75</v>
      </c>
    </row>
    <row r="10" spans="1:13" ht="18" customHeight="1" x14ac:dyDescent="0.2">
      <c r="A10" s="8" t="s">
        <v>30</v>
      </c>
      <c r="B10" s="8" t="s">
        <v>31</v>
      </c>
      <c r="C10" s="8" t="s">
        <v>32</v>
      </c>
      <c r="D10" s="9">
        <v>4.0999999999999996</v>
      </c>
      <c r="E10" s="10">
        <v>685</v>
      </c>
      <c r="F10" s="10">
        <v>525</v>
      </c>
      <c r="G10" s="10">
        <v>310</v>
      </c>
      <c r="H10" s="10">
        <v>105</v>
      </c>
      <c r="I10" s="10">
        <v>62</v>
      </c>
      <c r="J10" s="10">
        <v>2900</v>
      </c>
      <c r="K10" s="10">
        <v>88</v>
      </c>
      <c r="L10" s="10">
        <v>280</v>
      </c>
      <c r="M10" s="10">
        <v>205</v>
      </c>
    </row>
    <row r="12" spans="1:13" x14ac:dyDescent="0.2">
      <c r="A12" s="11" t="s">
        <v>33</v>
      </c>
    </row>
    <row r="13" spans="1:13" x14ac:dyDescent="0.2">
      <c r="A13" s="12" t="s">
        <v>34</v>
      </c>
    </row>
    <row r="14" spans="1:13" x14ac:dyDescent="0.2">
      <c r="A14" s="12" t="s">
        <v>35</v>
      </c>
    </row>
    <row r="15" spans="1:13" x14ac:dyDescent="0.2">
      <c r="A15" s="12" t="s">
        <v>36</v>
      </c>
    </row>
    <row r="16" spans="1:13" x14ac:dyDescent="0.2">
      <c r="A16" s="1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abSelected="1" zoomScaleNormal="100" workbookViewId="0">
      <selection activeCell="D30" sqref="D30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18" customWidth="1"/>
    <col min="4" max="14" width="16" customWidth="1"/>
  </cols>
  <sheetData>
    <row r="1" spans="1:14" ht="18" x14ac:dyDescent="0.2">
      <c r="A1" s="2" t="s">
        <v>38</v>
      </c>
    </row>
    <row r="2" spans="1:14" x14ac:dyDescent="0.2">
      <c r="A2" s="13"/>
    </row>
    <row r="4" spans="1:14" ht="36" customHeight="1" x14ac:dyDescent="0.2">
      <c r="A4" s="14" t="s">
        <v>2</v>
      </c>
      <c r="B4" s="14" t="s">
        <v>39</v>
      </c>
      <c r="C4" s="14" t="s">
        <v>4</v>
      </c>
      <c r="D4" s="14" t="s">
        <v>40</v>
      </c>
      <c r="E4" s="14" t="s">
        <v>41</v>
      </c>
      <c r="F4" s="14" t="s">
        <v>42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43</v>
      </c>
      <c r="L4" s="14" t="s">
        <v>44</v>
      </c>
      <c r="M4" s="14" t="s">
        <v>45</v>
      </c>
      <c r="N4" s="14" t="s">
        <v>46</v>
      </c>
    </row>
    <row r="5" spans="1:14" ht="18" customHeight="1" x14ac:dyDescent="0.2">
      <c r="A5" s="15" t="s">
        <v>15</v>
      </c>
      <c r="B5" s="16" t="str">
        <f>_xlfn.XLOOKUP(A5,'Raw Data'!$A:$A,'Raw Data'!$B:$B)</f>
        <v>Fisher &amp; Paykel Healthcare</v>
      </c>
      <c r="C5" s="16" t="str">
        <f>(_xlfn.XLOOKUP(A5,'Raw Data'!$A:$A,'Raw Data'!$C:$C))</f>
        <v>Healthcare</v>
      </c>
      <c r="D5" s="16">
        <f>PRODUCT(_xlfn.XLOOKUP(A5,'Raw Data'!$A:$A,'Raw Data'!$D:$E))</f>
        <v>14136.5</v>
      </c>
      <c r="E5" s="16" cm="1">
        <f t="array" ref="E5">SUM(_xlfn.XLOOKUP(A5,'Raw Data'!$A:$A,'Raw Data'!$J:$K)*{1,-1})</f>
        <v>-27</v>
      </c>
      <c r="F5" s="16">
        <f>D5+E5</f>
        <v>14109.5</v>
      </c>
      <c r="G5" s="16" cm="1">
        <f t="array" ref="G5:J5">_xlfn.XLOOKUP($A5,'Raw Data'!$A:$A,'Raw Data'!$F:$I)</f>
        <v>1827</v>
      </c>
      <c r="H5" s="16">
        <v>478</v>
      </c>
      <c r="I5" s="16">
        <v>373</v>
      </c>
      <c r="J5" s="16">
        <v>310</v>
      </c>
      <c r="K5" s="16">
        <f>$F5/G5</f>
        <v>7.7227695675971537</v>
      </c>
      <c r="L5" s="16">
        <f t="shared" ref="L5:M5" si="0">$F5/H5</f>
        <v>29.517782426778243</v>
      </c>
      <c r="M5" s="16">
        <f t="shared" si="0"/>
        <v>37.827077747989279</v>
      </c>
      <c r="N5" s="16">
        <f>$D5/J5</f>
        <v>45.601612903225806</v>
      </c>
    </row>
    <row r="6" spans="1:14" ht="18" customHeight="1" x14ac:dyDescent="0.2">
      <c r="A6" s="17" t="s">
        <v>18</v>
      </c>
      <c r="B6" s="16" t="str">
        <f>_xlfn.XLOOKUP(A6,'Raw Data'!$A:$A,'Raw Data'!$B:$B)</f>
        <v>Meridian Energy</v>
      </c>
      <c r="C6" s="16" t="str">
        <f>(_xlfn.XLOOKUP(A6,'Raw Data'!$A:$A,'Raw Data'!$C:$C))</f>
        <v>Utilities</v>
      </c>
      <c r="D6" s="16">
        <f>PRODUCT(_xlfn.XLOOKUP(A6,'Raw Data'!$A:$A,'Raw Data'!$D:$E))</f>
        <v>15471.86</v>
      </c>
      <c r="E6" s="16" cm="1">
        <f t="array" ref="E6">SUM(_xlfn.XLOOKUP(A6,'Raw Data'!A:A,'Raw Data'!J:K)*{1,-1})</f>
        <v>2791</v>
      </c>
      <c r="F6" s="16">
        <f t="shared" ref="F6:F10" si="1">D6+E6</f>
        <v>18262.86</v>
      </c>
      <c r="G6" s="16" cm="1">
        <f t="array" ref="G6:J6">_xlfn.XLOOKUP($A6,'Raw Data'!$A:$A,'Raw Data'!$F:$I)</f>
        <v>2103</v>
      </c>
      <c r="H6" s="16">
        <v>1210</v>
      </c>
      <c r="I6" s="16">
        <v>890</v>
      </c>
      <c r="J6" s="16">
        <v>602</v>
      </c>
      <c r="K6" s="16">
        <f t="shared" ref="K6:K10" si="2">$F6/G6</f>
        <v>8.6841940085592011</v>
      </c>
      <c r="L6" s="16">
        <f t="shared" ref="L6:L10" si="3">$F6/H6</f>
        <v>15.093272727272728</v>
      </c>
      <c r="M6" s="16">
        <f t="shared" ref="M6:M10" si="4">$F6/I6</f>
        <v>20.520067415730338</v>
      </c>
      <c r="N6" s="16">
        <f t="shared" ref="N6:N10" si="5">$D6/J6</f>
        <v>25.700764119601331</v>
      </c>
    </row>
    <row r="7" spans="1:14" ht="18" customHeight="1" x14ac:dyDescent="0.2">
      <c r="A7" s="15" t="s">
        <v>21</v>
      </c>
      <c r="B7" s="16" t="str">
        <f>_xlfn.XLOOKUP(A7,'Raw Data'!$A:$A,'Raw Data'!$B:$B)</f>
        <v>Auckland Intl Airport</v>
      </c>
      <c r="C7" s="16" t="str">
        <f>(_xlfn.XLOOKUP(A7,'Raw Data'!$A:$A,'Raw Data'!$C:$C))</f>
        <v>Infrastructure</v>
      </c>
      <c r="D7" s="16">
        <f>PRODUCT(_xlfn.XLOOKUP(A7,'Raw Data'!$A:$A,'Raw Data'!$D:$E))</f>
        <v>10338.449999999999</v>
      </c>
      <c r="E7" s="16" cm="1">
        <f t="array" ref="E7">SUM(_xlfn.XLOOKUP(A7,'Raw Data'!A:A,'Raw Data'!J:K)*{1,-1})</f>
        <v>2455</v>
      </c>
      <c r="F7" s="16">
        <f t="shared" si="1"/>
        <v>12793.449999999999</v>
      </c>
      <c r="G7" s="16" cm="1">
        <f t="array" ref="G7:J7">_xlfn.XLOOKUP($A7,'Raw Data'!$A:$A,'Raw Data'!$F:$I)</f>
        <v>726</v>
      </c>
      <c r="H7" s="16">
        <v>503</v>
      </c>
      <c r="I7" s="16">
        <v>285</v>
      </c>
      <c r="J7" s="16">
        <v>178</v>
      </c>
      <c r="K7" s="16">
        <f t="shared" si="2"/>
        <v>17.621831955922865</v>
      </c>
      <c r="L7" s="16">
        <f t="shared" si="3"/>
        <v>25.434294234592443</v>
      </c>
      <c r="M7" s="16">
        <f t="shared" si="4"/>
        <v>44.889298245614029</v>
      </c>
      <c r="N7" s="16">
        <f t="shared" si="5"/>
        <v>58.081179775280894</v>
      </c>
    </row>
    <row r="8" spans="1:14" ht="18" customHeight="1" x14ac:dyDescent="0.2">
      <c r="A8" s="17" t="s">
        <v>24</v>
      </c>
      <c r="B8" s="16" t="str">
        <f>_xlfn.XLOOKUP(A8,'Raw Data'!$A:$A,'Raw Data'!$B:$B)</f>
        <v>Spark New Zealand</v>
      </c>
      <c r="C8" s="16" t="str">
        <f>(_xlfn.XLOOKUP(A8,'Raw Data'!$A:$A,'Raw Data'!$C:$C))</f>
        <v>Telecom</v>
      </c>
      <c r="D8" s="16">
        <f>PRODUCT(_xlfn.XLOOKUP(A8,'Raw Data'!$A:$A,'Raw Data'!$D:$E))</f>
        <v>5980.23</v>
      </c>
      <c r="E8" s="16" cm="1">
        <f t="array" ref="E8">SUM(_xlfn.XLOOKUP(A8,'Raw Data'!A:A,'Raw Data'!J:K)*{1,-1})</f>
        <v>1705</v>
      </c>
      <c r="F8" s="16">
        <f t="shared" si="1"/>
        <v>7685.23</v>
      </c>
      <c r="G8" s="16" cm="1">
        <f t="array" ref="G8:J8">_xlfn.XLOOKUP($A8,'Raw Data'!$A:$A,'Raw Data'!$F:$I)</f>
        <v>3782</v>
      </c>
      <c r="H8" s="16">
        <v>956</v>
      </c>
      <c r="I8" s="16">
        <v>446</v>
      </c>
      <c r="J8" s="16">
        <v>210</v>
      </c>
      <c r="K8" s="16">
        <f t="shared" si="2"/>
        <v>2.0320544685351662</v>
      </c>
      <c r="L8" s="16">
        <f t="shared" si="3"/>
        <v>8.0389435146443518</v>
      </c>
      <c r="M8" s="16">
        <f t="shared" si="4"/>
        <v>17.231457399103139</v>
      </c>
      <c r="N8" s="16">
        <f t="shared" si="5"/>
        <v>28.477285714285713</v>
      </c>
    </row>
    <row r="9" spans="1:14" ht="18" customHeight="1" x14ac:dyDescent="0.2">
      <c r="A9" s="15" t="s">
        <v>27</v>
      </c>
      <c r="B9" s="16" t="str">
        <f>_xlfn.XLOOKUP(A9,'Raw Data'!$A:$A,'Raw Data'!$B:$B)</f>
        <v>Mainfreight</v>
      </c>
      <c r="C9" s="16" t="str">
        <f>(_xlfn.XLOOKUP(A9,'Raw Data'!$A:$A,'Raw Data'!$C:$C))</f>
        <v>Logistics</v>
      </c>
      <c r="D9" s="16">
        <f>PRODUCT(_xlfn.XLOOKUP(A9,'Raw Data'!$A:$A,'Raw Data'!$D:$E))</f>
        <v>6530.2</v>
      </c>
      <c r="E9" s="16" cm="1">
        <f t="array" ref="E9">SUM(_xlfn.XLOOKUP(A9,'Raw Data'!A:A,'Raw Data'!J:K)*{1,-1})</f>
        <v>-170</v>
      </c>
      <c r="F9" s="16">
        <f t="shared" si="1"/>
        <v>6360.2</v>
      </c>
      <c r="G9" s="16" cm="1">
        <f t="array" ref="G9:J9">_xlfn.XLOOKUP($A9,'Raw Data'!$A:$A,'Raw Data'!$F:$I)</f>
        <v>4980</v>
      </c>
      <c r="H9" s="16">
        <v>620</v>
      </c>
      <c r="I9" s="16">
        <v>545</v>
      </c>
      <c r="J9" s="16">
        <v>382</v>
      </c>
      <c r="K9" s="16">
        <f t="shared" si="2"/>
        <v>1.27714859437751</v>
      </c>
      <c r="L9" s="16">
        <f t="shared" si="3"/>
        <v>10.258387096774193</v>
      </c>
      <c r="M9" s="16">
        <f t="shared" si="4"/>
        <v>11.670091743119265</v>
      </c>
      <c r="N9" s="16">
        <f t="shared" si="5"/>
        <v>17.09476439790576</v>
      </c>
    </row>
    <row r="10" spans="1:14" ht="18" customHeight="1" x14ac:dyDescent="0.2">
      <c r="A10" s="17" t="s">
        <v>30</v>
      </c>
      <c r="B10" s="16" t="str">
        <f>_xlfn.XLOOKUP(A10,'Raw Data'!$A:$A,'Raw Data'!$B:$B)</f>
        <v>Ryman Healthcare</v>
      </c>
      <c r="C10" s="16" t="str">
        <f>(_xlfn.XLOOKUP(A10,'Raw Data'!$A:$A,'Raw Data'!$C:$C))</f>
        <v>Healthcare/Property</v>
      </c>
      <c r="D10" s="16">
        <f>PRODUCT(_xlfn.XLOOKUP(A10,'Raw Data'!$A:$A,'Raw Data'!$D:$E))</f>
        <v>2808.4999999999995</v>
      </c>
      <c r="E10" s="16" cm="1">
        <f t="array" ref="E10">SUM(_xlfn.XLOOKUP(A10,'Raw Data'!A:A,'Raw Data'!J:K)*{1,-1})</f>
        <v>2812</v>
      </c>
      <c r="F10" s="16">
        <f t="shared" si="1"/>
        <v>5620.5</v>
      </c>
      <c r="G10" s="16" cm="1">
        <f t="array" ref="G10:J10">_xlfn.XLOOKUP($A10,'Raw Data'!$A:$A,'Raw Data'!$F:$I)</f>
        <v>525</v>
      </c>
      <c r="H10" s="16">
        <v>310</v>
      </c>
      <c r="I10" s="16">
        <v>105</v>
      </c>
      <c r="J10" s="16">
        <v>62</v>
      </c>
      <c r="K10" s="16">
        <f t="shared" si="2"/>
        <v>10.705714285714286</v>
      </c>
      <c r="L10" s="16">
        <f t="shared" si="3"/>
        <v>18.130645161290321</v>
      </c>
      <c r="M10" s="16">
        <f t="shared" si="4"/>
        <v>53.528571428571432</v>
      </c>
      <c r="N10" s="16">
        <f t="shared" si="5"/>
        <v>45.298387096774185</v>
      </c>
    </row>
    <row r="11" spans="1:14" x14ac:dyDescent="0.2">
      <c r="A11" s="18" t="s">
        <v>47</v>
      </c>
      <c r="B11" s="16"/>
      <c r="C11" s="16"/>
      <c r="D11" s="16">
        <f>AVERAGE(D5:D10)</f>
        <v>9210.9566666666651</v>
      </c>
      <c r="E11" s="16">
        <f t="shared" ref="E11:N11" si="6">AVERAGE(E5:E10)</f>
        <v>1594.3333333333333</v>
      </c>
      <c r="F11" s="16">
        <f t="shared" si="6"/>
        <v>10805.289999999999</v>
      </c>
      <c r="G11" s="16">
        <f t="shared" si="6"/>
        <v>2323.8333333333335</v>
      </c>
      <c r="H11" s="16">
        <f t="shared" si="6"/>
        <v>679.5</v>
      </c>
      <c r="I11" s="16">
        <f t="shared" si="6"/>
        <v>440.66666666666669</v>
      </c>
      <c r="J11" s="16">
        <f t="shared" si="6"/>
        <v>290.66666666666669</v>
      </c>
      <c r="K11" s="16">
        <f t="shared" si="6"/>
        <v>8.0072854801176963</v>
      </c>
      <c r="L11" s="16">
        <f t="shared" si="6"/>
        <v>17.745554193558714</v>
      </c>
      <c r="M11" s="16">
        <f t="shared" si="6"/>
        <v>30.944427330021245</v>
      </c>
      <c r="N11" s="16">
        <f t="shared" si="6"/>
        <v>36.708999001178945</v>
      </c>
    </row>
    <row r="12" spans="1:14" x14ac:dyDescent="0.2">
      <c r="A12" s="18" t="s">
        <v>48</v>
      </c>
      <c r="B12" s="16"/>
      <c r="C12" s="16"/>
      <c r="D12" s="16">
        <f>MEDIAN(D5:D10)</f>
        <v>8434.3249999999989</v>
      </c>
      <c r="E12" s="16">
        <f t="shared" ref="E12:N12" si="7">MEDIAN(E5:E10)</f>
        <v>2080</v>
      </c>
      <c r="F12" s="16">
        <f t="shared" si="7"/>
        <v>10239.34</v>
      </c>
      <c r="G12" s="16">
        <f t="shared" si="7"/>
        <v>1965</v>
      </c>
      <c r="H12" s="16">
        <f t="shared" si="7"/>
        <v>561.5</v>
      </c>
      <c r="I12" s="16">
        <f t="shared" si="7"/>
        <v>409.5</v>
      </c>
      <c r="J12" s="16">
        <f t="shared" si="7"/>
        <v>260</v>
      </c>
      <c r="K12" s="16">
        <f t="shared" si="7"/>
        <v>8.203481788078177</v>
      </c>
      <c r="L12" s="16">
        <f t="shared" si="7"/>
        <v>16.611958944281525</v>
      </c>
      <c r="M12" s="16">
        <f t="shared" si="7"/>
        <v>29.173572581859808</v>
      </c>
      <c r="N12" s="16">
        <f t="shared" si="7"/>
        <v>36.887836405529953</v>
      </c>
    </row>
    <row r="13" spans="1:14" x14ac:dyDescent="0.2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3">
    <mergeCell ref="A16:N16"/>
    <mergeCell ref="A17:N17"/>
    <mergeCell ref="A18:N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Comps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Farrington</cp:lastModifiedBy>
  <cp:revision>0</cp:revision>
  <dcterms:created xsi:type="dcterms:W3CDTF">2026-06-28T23:20:20Z</dcterms:created>
  <dcterms:modified xsi:type="dcterms:W3CDTF">2026-06-29T02:02:02Z</dcterms:modified>
  <dc:language>en-US</dc:language>
</cp:coreProperties>
</file>